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BR\Alcaldia de Usme_RB\2026\SIVICOF\SIVICOF_Julio\SIVICOF_JULIO\"/>
    </mc:Choice>
  </mc:AlternateContent>
  <xr:revisionPtr revIDLastSave="0" documentId="13_ncr:1_{6F73CC89-2458-48D9-8B4E-E15BC7D09A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00 CB-0104  SEGUIMIENTO A E..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12" i="1"/>
  <c r="M11" i="1"/>
  <c r="M20" i="1"/>
  <c r="I19" i="1"/>
  <c r="I11" i="1"/>
  <c r="L11" i="1"/>
  <c r="L12" i="1"/>
  <c r="I20" i="1"/>
  <c r="L19" i="1"/>
  <c r="L20" i="1"/>
  <c r="I12" i="1"/>
</calcChain>
</file>

<file path=xl/sharedStrings.xml><?xml version="1.0" encoding="utf-8"?>
<sst xmlns="http://schemas.openxmlformats.org/spreadsheetml/2006/main" count="161" uniqueCount="46">
  <si>
    <t>Tipo Informe</t>
  </si>
  <si>
    <t xml:space="preserve">1 PRESUPUESTO </t>
  </si>
  <si>
    <t>Formulario</t>
  </si>
  <si>
    <t>CB-0104: SEGUIMIENTO A EJECUCIÓN DE RESERVAS U OBLIGACIONES POR PAGAR</t>
  </si>
  <si>
    <t>Moneda Informe</t>
  </si>
  <si>
    <t>Entidad</t>
  </si>
  <si>
    <t>Fecha</t>
  </si>
  <si>
    <t>Periodicidad</t>
  </si>
  <si>
    <t>Mensual</t>
  </si>
  <si>
    <t>[1]</t>
  </si>
  <si>
    <t>0 TOTAL RESERVAS DE FUNCIONAMIENTO</t>
  </si>
  <si>
    <t>CODIGO</t>
  </si>
  <si>
    <t>RUBRO PRESUPUESTAL</t>
  </si>
  <si>
    <t>RESERVAS CONSTITUIDA</t>
  </si>
  <si>
    <t>ANULACIONES DEL MES</t>
  </si>
  <si>
    <t>ANULACIONES ACUMULADAS</t>
  </si>
  <si>
    <t>RESERVAS DEFINITIVAS</t>
  </si>
  <si>
    <t>% DE PARTICIPACION</t>
  </si>
  <si>
    <t>AUTORIZACION DE GIRO DEL MES</t>
  </si>
  <si>
    <t>AUTORIZACION DE GIRO ACUMULADA</t>
  </si>
  <si>
    <t>% EJECUCION AUTORIZADA DE GIRO</t>
  </si>
  <si>
    <t>SALDO DE LAS RESERVAS</t>
  </si>
  <si>
    <t>CODIGO AREA FUNCIONAL</t>
  </si>
  <si>
    <t>NOMBRE AREA FUNCIONAL</t>
  </si>
  <si>
    <t>CODIGO SECTOR</t>
  </si>
  <si>
    <t>NOMBRE SECTOR</t>
  </si>
  <si>
    <t>FILA_1</t>
  </si>
  <si>
    <t>O219001</t>
  </si>
  <si>
    <t>Obligaciones por Pagar Funcionamiento Vigencia Anterior</t>
  </si>
  <si>
    <t>0004-016</t>
  </si>
  <si>
    <t>FDL-Localidades</t>
  </si>
  <si>
    <t>016</t>
  </si>
  <si>
    <t>Localidades</t>
  </si>
  <si>
    <t>FILA_2</t>
  </si>
  <si>
    <t>O219002</t>
  </si>
  <si>
    <t>Obligaciones por Pagar Funcionamiento Otras Vigencias</t>
  </si>
  <si>
    <t/>
  </si>
  <si>
    <t>FILA_999999</t>
  </si>
  <si>
    <t>[2]</t>
  </si>
  <si>
    <t>0 TOTAL RESERVAS DE INVERSION</t>
  </si>
  <si>
    <t xml:space="preserve">O230689 </t>
  </si>
  <si>
    <t>Obligaciones por pagar Inversión vigencia anterior</t>
  </si>
  <si>
    <t>O230690</t>
  </si>
  <si>
    <t>Obligaciones por pagar Inversión vigencias anteriores</t>
  </si>
  <si>
    <t>[3]</t>
  </si>
  <si>
    <t>0 TOTAL RESERVAS DE  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</si>
</sst>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/mm/dd"/>
  </numFmts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 applyProtection="1">
      <alignment vertical="center"/>
      <protection locked="0"/>
    </xf>
    <xf numFmtId="164" fontId="5" fillId="4" borderId="4" xfId="0" applyNumberFormat="1" applyFont="1" applyFill="1" applyBorder="1" applyAlignment="1">
      <alignment horizontal="center" vertical="center"/>
    </xf>
    <xf numFmtId="0" fontId="0" fillId="6" borderId="3" xfId="0" applyFill="1" applyBorder="1" applyAlignment="1" applyProtection="1">
      <alignment vertical="center"/>
      <protection locked="0"/>
    </xf>
    <xf numFmtId="0" fontId="8" fillId="2" borderId="1" xfId="0" applyFont="1" applyFill="1" applyBorder="1" applyAlignment="1">
      <alignment horizontal="center" vertical="center"/>
    </xf>
    <xf numFmtId="44" fontId="0" fillId="0" borderId="0" xfId="2" applyFont="1"/>
    <xf numFmtId="44" fontId="0" fillId="0" borderId="0" xfId="0" applyNumberFormat="1"/>
    <xf numFmtId="44" fontId="1" fillId="6" borderId="3" xfId="2" applyFont="1" applyFill="1" applyBorder="1" applyAlignment="1" applyProtection="1">
      <alignment vertical="center"/>
      <protection locked="0"/>
    </xf>
    <xf numFmtId="0" fontId="0" fillId="6" borderId="3" xfId="0" applyFill="1" applyBorder="1" applyAlignment="1" applyProtection="1">
      <alignment horizontal="center"/>
      <protection locked="0"/>
    </xf>
    <xf numFmtId="0" fontId="2" fillId="6" borderId="3" xfId="0" applyFont="1" applyFill="1" applyBorder="1" applyAlignment="1" applyProtection="1">
      <alignment horizontal="center"/>
      <protection locked="0"/>
    </xf>
    <xf numFmtId="10" fontId="0" fillId="6" borderId="3" xfId="1" applyNumberFormat="1" applyFont="1" applyFill="1" applyBorder="1" applyAlignment="1" applyProtection="1">
      <alignment horizontal="center"/>
      <protection locked="0"/>
    </xf>
    <xf numFmtId="0" fontId="5" fillId="5" borderId="3" xfId="0" applyFont="1" applyFill="1" applyBorder="1" applyAlignment="1">
      <alignment horizontal="center"/>
    </xf>
    <xf numFmtId="0" fontId="0" fillId="6" borderId="3" xfId="0" applyFill="1" applyBorder="1" applyAlignment="1" applyProtection="1">
      <alignment horizontal="center" vertical="center"/>
      <protection locked="0"/>
    </xf>
    <xf numFmtId="10" fontId="0" fillId="6" borderId="3" xfId="1" applyNumberFormat="1" applyFont="1" applyFill="1" applyBorder="1" applyAlignment="1" applyProtection="1">
      <alignment horizontal="center" vertical="center"/>
      <protection locked="0"/>
    </xf>
    <xf numFmtId="0" fontId="5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0" fillId="0" borderId="0" xfId="0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CCFF"/>
      <color rgb="FF00FF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</xdr:colOff>
      <xdr:row>3</xdr:row>
      <xdr:rowOff>43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9"/>
  <sheetViews>
    <sheetView tabSelected="1" topLeftCell="B1" zoomScale="80" zoomScaleNormal="80" workbookViewId="0">
      <selection activeCell="H31" sqref="H31"/>
    </sheetView>
  </sheetViews>
  <sheetFormatPr baseColWidth="10" defaultColWidth="8.85546875" defaultRowHeight="15" x14ac:dyDescent="0.25"/>
  <cols>
    <col min="2" max="2" width="21" customWidth="1"/>
    <col min="3" max="3" width="12" customWidth="1"/>
    <col min="4" max="4" width="55.85546875" customWidth="1"/>
    <col min="5" max="5" width="26" customWidth="1"/>
    <col min="6" max="6" width="25" customWidth="1"/>
    <col min="7" max="7" width="25.85546875" customWidth="1"/>
    <col min="8" max="8" width="26" customWidth="1"/>
    <col min="9" max="9" width="21" customWidth="1"/>
    <col min="10" max="10" width="34" customWidth="1"/>
    <col min="11" max="11" width="34.28515625" customWidth="1"/>
    <col min="12" max="12" width="30.85546875" customWidth="1"/>
    <col min="13" max="15" width="27" customWidth="1"/>
    <col min="16" max="17" width="19" customWidth="1"/>
    <col min="19" max="256" width="8" hidden="1"/>
  </cols>
  <sheetData>
    <row r="1" spans="1:17" x14ac:dyDescent="0.25">
      <c r="B1" s="1" t="s">
        <v>0</v>
      </c>
      <c r="C1" s="1">
        <v>1</v>
      </c>
      <c r="D1" s="1" t="s">
        <v>1</v>
      </c>
    </row>
    <row r="2" spans="1:17" x14ac:dyDescent="0.25">
      <c r="B2" s="1" t="s">
        <v>2</v>
      </c>
      <c r="C2" s="1">
        <v>400</v>
      </c>
      <c r="D2" s="1" t="s">
        <v>3</v>
      </c>
    </row>
    <row r="3" spans="1:17" x14ac:dyDescent="0.25">
      <c r="B3" s="1" t="s">
        <v>4</v>
      </c>
      <c r="C3" s="1">
        <v>1</v>
      </c>
    </row>
    <row r="4" spans="1:17" x14ac:dyDescent="0.25">
      <c r="B4" s="1" t="s">
        <v>5</v>
      </c>
      <c r="C4" s="1">
        <v>5</v>
      </c>
    </row>
    <row r="5" spans="1:17" x14ac:dyDescent="0.25">
      <c r="B5" s="1" t="s">
        <v>6</v>
      </c>
      <c r="C5" s="4">
        <v>46234</v>
      </c>
    </row>
    <row r="6" spans="1:17" x14ac:dyDescent="0.25">
      <c r="B6" s="1" t="s">
        <v>7</v>
      </c>
      <c r="C6" s="1">
        <v>1</v>
      </c>
      <c r="D6" s="1" t="s">
        <v>8</v>
      </c>
    </row>
    <row r="8" spans="1:17" x14ac:dyDescent="0.25">
      <c r="A8" s="1" t="s">
        <v>9</v>
      </c>
      <c r="B8" s="18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x14ac:dyDescent="0.25">
      <c r="C9" s="1">
        <v>1</v>
      </c>
      <c r="D9" s="1">
        <v>2</v>
      </c>
      <c r="E9" s="1">
        <v>4</v>
      </c>
      <c r="F9" s="1">
        <v>7</v>
      </c>
      <c r="G9" s="1">
        <v>8</v>
      </c>
      <c r="H9" s="1">
        <v>12</v>
      </c>
      <c r="I9" s="1">
        <v>15</v>
      </c>
      <c r="J9" s="1">
        <v>16</v>
      </c>
      <c r="K9" s="1">
        <v>20</v>
      </c>
      <c r="L9" s="1">
        <v>24</v>
      </c>
      <c r="M9" s="1">
        <v>28</v>
      </c>
      <c r="N9" s="1">
        <v>52</v>
      </c>
      <c r="O9" s="1">
        <v>56</v>
      </c>
      <c r="P9" s="1">
        <v>60</v>
      </c>
      <c r="Q9" s="1">
        <v>64</v>
      </c>
    </row>
    <row r="10" spans="1:17" ht="15.75" thickBot="1" x14ac:dyDescent="0.3">
      <c r="C10" s="1" t="s">
        <v>11</v>
      </c>
      <c r="D10" s="1" t="s">
        <v>12</v>
      </c>
      <c r="E10" s="1" t="s">
        <v>13</v>
      </c>
      <c r="F10" s="6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</row>
    <row r="11" spans="1:17" ht="15.75" thickBot="1" x14ac:dyDescent="0.3">
      <c r="A11" s="1">
        <v>1</v>
      </c>
      <c r="B11" t="s">
        <v>26</v>
      </c>
      <c r="C11" s="5" t="s">
        <v>27</v>
      </c>
      <c r="D11" s="5" t="s">
        <v>28</v>
      </c>
      <c r="E11" s="10">
        <v>1600456179</v>
      </c>
      <c r="F11" s="11">
        <v>0</v>
      </c>
      <c r="G11" s="11">
        <v>24298995</v>
      </c>
      <c r="H11" s="10">
        <v>1576157184</v>
      </c>
      <c r="I11" s="12">
        <f>+H11/E11</f>
        <v>0.98481745684834521</v>
      </c>
      <c r="J11" s="10">
        <v>0</v>
      </c>
      <c r="K11" s="10">
        <v>989895750</v>
      </c>
      <c r="L11" s="12">
        <f>K11/H11</f>
        <v>0.62804380175321395</v>
      </c>
      <c r="M11" s="13">
        <f>H11-K11</f>
        <v>586261434</v>
      </c>
      <c r="N11" s="3" t="s">
        <v>29</v>
      </c>
      <c r="O11" s="3" t="s">
        <v>30</v>
      </c>
      <c r="P11" s="3" t="s">
        <v>31</v>
      </c>
      <c r="Q11" s="3" t="s">
        <v>32</v>
      </c>
    </row>
    <row r="12" spans="1:17" ht="15.75" thickBot="1" x14ac:dyDescent="0.3">
      <c r="A12" s="1">
        <v>2</v>
      </c>
      <c r="B12" t="s">
        <v>33</v>
      </c>
      <c r="C12" s="5" t="s">
        <v>34</v>
      </c>
      <c r="D12" s="5" t="s">
        <v>35</v>
      </c>
      <c r="E12" s="10">
        <v>146919138</v>
      </c>
      <c r="F12" s="11">
        <v>0</v>
      </c>
      <c r="G12" s="10">
        <v>17511150</v>
      </c>
      <c r="H12" s="10">
        <v>129407988</v>
      </c>
      <c r="I12" s="12">
        <f>+H12/E12</f>
        <v>0.88081096691433081</v>
      </c>
      <c r="J12" s="10">
        <v>0</v>
      </c>
      <c r="K12" s="10">
        <v>44179201</v>
      </c>
      <c r="L12" s="12">
        <f>K12/H12</f>
        <v>0.34139469813872697</v>
      </c>
      <c r="M12" s="13">
        <f>H12-K12</f>
        <v>85228787</v>
      </c>
      <c r="N12" s="3" t="s">
        <v>29</v>
      </c>
      <c r="O12" s="3" t="s">
        <v>30</v>
      </c>
      <c r="P12" s="3" t="s">
        <v>31</v>
      </c>
      <c r="Q12" s="3" t="s">
        <v>32</v>
      </c>
    </row>
    <row r="13" spans="1:17" x14ac:dyDescent="0.25">
      <c r="A13" s="1">
        <v>-1</v>
      </c>
      <c r="C13" s="2" t="s">
        <v>36</v>
      </c>
      <c r="D13" s="2" t="s">
        <v>36</v>
      </c>
      <c r="E13" s="2" t="s">
        <v>36</v>
      </c>
      <c r="F13" s="2" t="s">
        <v>36</v>
      </c>
      <c r="G13" s="2" t="s">
        <v>36</v>
      </c>
      <c r="H13" s="2" t="s">
        <v>36</v>
      </c>
      <c r="I13" s="2" t="s">
        <v>36</v>
      </c>
      <c r="J13" s="2" t="s">
        <v>36</v>
      </c>
      <c r="K13" s="2" t="s">
        <v>36</v>
      </c>
      <c r="L13" s="2" t="s">
        <v>36</v>
      </c>
      <c r="M13" s="2" t="s">
        <v>36</v>
      </c>
      <c r="N13" s="2" t="s">
        <v>36</v>
      </c>
      <c r="O13" s="2" t="s">
        <v>36</v>
      </c>
      <c r="P13" s="2" t="s">
        <v>36</v>
      </c>
      <c r="Q13" s="2" t="s">
        <v>36</v>
      </c>
    </row>
    <row r="14" spans="1:17" x14ac:dyDescent="0.25">
      <c r="A14" s="1">
        <v>999999</v>
      </c>
      <c r="B14" t="s">
        <v>37</v>
      </c>
      <c r="C14" s="2" t="s">
        <v>36</v>
      </c>
      <c r="D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6" spans="1:17" x14ac:dyDescent="0.25">
      <c r="A16" s="1" t="s">
        <v>38</v>
      </c>
      <c r="B16" s="18" t="s">
        <v>39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7" x14ac:dyDescent="0.25">
      <c r="C17" s="1">
        <v>1</v>
      </c>
      <c r="D17" s="1">
        <v>2</v>
      </c>
      <c r="E17" s="1">
        <v>4</v>
      </c>
      <c r="F17" s="1">
        <v>7</v>
      </c>
      <c r="G17" s="1">
        <v>8</v>
      </c>
      <c r="H17" s="1">
        <v>12</v>
      </c>
      <c r="I17" s="1">
        <v>15</v>
      </c>
      <c r="J17" s="1">
        <v>16</v>
      </c>
      <c r="K17" s="1">
        <v>20</v>
      </c>
      <c r="L17" s="1">
        <v>24</v>
      </c>
      <c r="M17" s="1">
        <v>28</v>
      </c>
      <c r="N17" s="1">
        <v>52</v>
      </c>
      <c r="O17" s="1">
        <v>56</v>
      </c>
      <c r="P17" s="1">
        <v>60</v>
      </c>
      <c r="Q17" s="1">
        <v>64</v>
      </c>
    </row>
    <row r="18" spans="1:17" ht="15.75" thickBot="1" x14ac:dyDescent="0.3"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18</v>
      </c>
      <c r="K18" s="1" t="s">
        <v>19</v>
      </c>
      <c r="L18" s="1" t="s">
        <v>20</v>
      </c>
      <c r="M18" s="1" t="s">
        <v>21</v>
      </c>
      <c r="N18" s="1" t="s">
        <v>22</v>
      </c>
      <c r="O18" s="1" t="s">
        <v>23</v>
      </c>
      <c r="P18" s="1" t="s">
        <v>24</v>
      </c>
      <c r="Q18" s="1" t="s">
        <v>25</v>
      </c>
    </row>
    <row r="19" spans="1:17" ht="15.75" thickBot="1" x14ac:dyDescent="0.3">
      <c r="A19" s="1">
        <v>1</v>
      </c>
      <c r="B19" t="s">
        <v>26</v>
      </c>
      <c r="C19" s="5" t="s">
        <v>40</v>
      </c>
      <c r="D19" s="5" t="s">
        <v>41</v>
      </c>
      <c r="E19" s="14">
        <v>71217077316</v>
      </c>
      <c r="F19" s="11">
        <v>1790000</v>
      </c>
      <c r="G19" s="14">
        <v>122275124</v>
      </c>
      <c r="H19" s="14">
        <v>71093012192</v>
      </c>
      <c r="I19" s="15">
        <f>+H19/E19</f>
        <v>0.9982579301387291</v>
      </c>
      <c r="J19" s="14">
        <v>4984135049</v>
      </c>
      <c r="K19" s="14">
        <v>14515914535</v>
      </c>
      <c r="L19" s="15">
        <f>K19/H19</f>
        <v>0.20418201574856687</v>
      </c>
      <c r="M19" s="16">
        <f>H19-K19</f>
        <v>56577097657</v>
      </c>
      <c r="N19" s="3" t="s">
        <v>29</v>
      </c>
      <c r="O19" s="3" t="s">
        <v>30</v>
      </c>
      <c r="P19" s="3" t="s">
        <v>31</v>
      </c>
      <c r="Q19" s="3" t="s">
        <v>32</v>
      </c>
    </row>
    <row r="20" spans="1:17" ht="15.75" thickBot="1" x14ac:dyDescent="0.3">
      <c r="A20" s="1">
        <v>2</v>
      </c>
      <c r="B20" t="s">
        <v>33</v>
      </c>
      <c r="C20" s="5" t="s">
        <v>42</v>
      </c>
      <c r="D20" s="5" t="s">
        <v>43</v>
      </c>
      <c r="E20" s="14">
        <v>21086768790</v>
      </c>
      <c r="F20" s="11">
        <v>0</v>
      </c>
      <c r="G20" s="17">
        <v>132481986</v>
      </c>
      <c r="H20" s="14">
        <v>20954286804</v>
      </c>
      <c r="I20" s="15">
        <f>+H20/E20</f>
        <v>0.99371729318420621</v>
      </c>
      <c r="J20" s="14">
        <v>920981576</v>
      </c>
      <c r="K20" s="14">
        <v>8545383531</v>
      </c>
      <c r="L20" s="15">
        <f>K20/H20</f>
        <v>0.40781075542827622</v>
      </c>
      <c r="M20" s="16">
        <f>H20-K20</f>
        <v>12408903273</v>
      </c>
      <c r="N20" s="3" t="s">
        <v>29</v>
      </c>
      <c r="O20" s="3" t="s">
        <v>30</v>
      </c>
      <c r="P20" s="3" t="s">
        <v>31</v>
      </c>
      <c r="Q20" s="3" t="s">
        <v>32</v>
      </c>
    </row>
    <row r="21" spans="1:17" x14ac:dyDescent="0.25">
      <c r="A21" s="1">
        <v>-1</v>
      </c>
      <c r="C21" s="2" t="s">
        <v>36</v>
      </c>
      <c r="D21" s="2" t="s">
        <v>36</v>
      </c>
      <c r="E21" s="2" t="s">
        <v>36</v>
      </c>
      <c r="F21" s="2" t="s">
        <v>36</v>
      </c>
      <c r="G21" s="2" t="s">
        <v>36</v>
      </c>
      <c r="H21" s="2" t="s">
        <v>36</v>
      </c>
      <c r="I21" s="2" t="s">
        <v>36</v>
      </c>
      <c r="J21" s="2" t="s">
        <v>36</v>
      </c>
      <c r="K21" s="2" t="s">
        <v>36</v>
      </c>
      <c r="L21" s="2" t="s">
        <v>36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36</v>
      </c>
    </row>
    <row r="22" spans="1:17" x14ac:dyDescent="0.25">
      <c r="A22" s="1">
        <v>999999</v>
      </c>
      <c r="B22" t="s">
        <v>37</v>
      </c>
      <c r="C22" s="2" t="s">
        <v>36</v>
      </c>
      <c r="D22" s="2" t="s">
        <v>36</v>
      </c>
      <c r="N22" s="2" t="s">
        <v>36</v>
      </c>
      <c r="O22" s="2" t="s">
        <v>36</v>
      </c>
      <c r="P22" s="2" t="s">
        <v>36</v>
      </c>
      <c r="Q22" s="2" t="s">
        <v>36</v>
      </c>
    </row>
    <row r="24" spans="1:17" x14ac:dyDescent="0.25">
      <c r="A24" s="1" t="s">
        <v>44</v>
      </c>
      <c r="B24" s="18" t="s">
        <v>45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7" x14ac:dyDescent="0.25">
      <c r="C25" s="1">
        <v>1</v>
      </c>
      <c r="D25" s="1">
        <v>2</v>
      </c>
      <c r="E25" s="1">
        <v>4</v>
      </c>
      <c r="F25" s="1">
        <v>7</v>
      </c>
      <c r="G25" s="1">
        <v>8</v>
      </c>
      <c r="H25" s="1">
        <v>12</v>
      </c>
      <c r="I25" s="1">
        <v>15</v>
      </c>
      <c r="J25" s="1">
        <v>16</v>
      </c>
      <c r="K25" s="1">
        <v>20</v>
      </c>
      <c r="L25" s="1">
        <v>24</v>
      </c>
      <c r="M25" s="1">
        <v>28</v>
      </c>
      <c r="N25" s="1">
        <v>52</v>
      </c>
      <c r="O25" s="1">
        <v>56</v>
      </c>
      <c r="P25" s="1">
        <v>60</v>
      </c>
      <c r="Q25" s="1">
        <v>64</v>
      </c>
    </row>
    <row r="26" spans="1:17" x14ac:dyDescent="0.25"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18</v>
      </c>
      <c r="K26" s="1" t="s">
        <v>19</v>
      </c>
      <c r="L26" s="1" t="s">
        <v>20</v>
      </c>
      <c r="M26" s="1" t="s">
        <v>21</v>
      </c>
      <c r="N26" s="1" t="s">
        <v>22</v>
      </c>
      <c r="O26" s="1" t="s">
        <v>23</v>
      </c>
      <c r="P26" s="1" t="s">
        <v>24</v>
      </c>
      <c r="Q26" s="1" t="s">
        <v>25</v>
      </c>
    </row>
    <row r="27" spans="1:17" x14ac:dyDescent="0.25">
      <c r="A27" s="1">
        <v>1</v>
      </c>
      <c r="B27" t="s">
        <v>26</v>
      </c>
      <c r="C27" s="3" t="s">
        <v>36</v>
      </c>
      <c r="D27" s="3" t="s">
        <v>36</v>
      </c>
      <c r="E27" s="3"/>
      <c r="F27" s="3"/>
      <c r="G27" s="3"/>
      <c r="H27" s="3"/>
      <c r="I27" s="3"/>
      <c r="J27" s="3"/>
      <c r="K27" s="3"/>
      <c r="L27" s="3"/>
      <c r="M27" s="3"/>
      <c r="N27" s="3" t="s">
        <v>36</v>
      </c>
      <c r="O27" s="3" t="s">
        <v>36</v>
      </c>
      <c r="P27" s="3" t="s">
        <v>36</v>
      </c>
      <c r="Q27" s="3" t="s">
        <v>36</v>
      </c>
    </row>
    <row r="28" spans="1:17" x14ac:dyDescent="0.25">
      <c r="A28" s="1">
        <v>-1</v>
      </c>
      <c r="C28" s="2" t="s">
        <v>36</v>
      </c>
      <c r="D28" s="2" t="s">
        <v>36</v>
      </c>
      <c r="E28" s="2" t="s">
        <v>36</v>
      </c>
      <c r="F28" s="2" t="s">
        <v>36</v>
      </c>
      <c r="G28" s="2" t="s">
        <v>36</v>
      </c>
      <c r="H28" s="2" t="s">
        <v>36</v>
      </c>
      <c r="I28" s="2" t="s">
        <v>36</v>
      </c>
      <c r="J28" s="2" t="s">
        <v>36</v>
      </c>
      <c r="K28" s="2" t="s">
        <v>36</v>
      </c>
      <c r="L28" s="2" t="s">
        <v>36</v>
      </c>
      <c r="M28" s="2" t="s">
        <v>36</v>
      </c>
      <c r="N28" s="2" t="s">
        <v>36</v>
      </c>
      <c r="O28" s="2" t="s">
        <v>36</v>
      </c>
      <c r="P28" s="2" t="s">
        <v>36</v>
      </c>
      <c r="Q28" s="2" t="s">
        <v>36</v>
      </c>
    </row>
    <row r="29" spans="1:17" x14ac:dyDescent="0.25">
      <c r="A29" s="1">
        <v>999999</v>
      </c>
      <c r="B29" t="s">
        <v>37</v>
      </c>
      <c r="C29" s="2" t="s">
        <v>36</v>
      </c>
      <c r="D29" s="2" t="s">
        <v>36</v>
      </c>
      <c r="N29" t="s">
        <v>36</v>
      </c>
      <c r="O29" t="s">
        <v>36</v>
      </c>
      <c r="P29" t="s">
        <v>36</v>
      </c>
      <c r="Q29" t="s">
        <v>36</v>
      </c>
    </row>
    <row r="31" spans="1:17" x14ac:dyDescent="0.25">
      <c r="G31" s="7"/>
    </row>
    <row r="32" spans="1:17" ht="15.75" thickBot="1" x14ac:dyDescent="0.3">
      <c r="G32" s="7"/>
    </row>
    <row r="33" spans="7:9" ht="15.75" thickBot="1" x14ac:dyDescent="0.3">
      <c r="G33" s="7"/>
      <c r="I33" s="9"/>
    </row>
    <row r="34" spans="7:9" x14ac:dyDescent="0.25">
      <c r="G34" s="7"/>
    </row>
    <row r="35" spans="7:9" x14ac:dyDescent="0.25">
      <c r="I35" s="8"/>
    </row>
    <row r="37" spans="7:9" x14ac:dyDescent="0.25">
      <c r="G37" s="8"/>
    </row>
    <row r="38" spans="7:9" x14ac:dyDescent="0.25">
      <c r="G38" s="8"/>
      <c r="I38" s="8"/>
    </row>
    <row r="39" spans="7:9" x14ac:dyDescent="0.25">
      <c r="G39" s="8"/>
    </row>
  </sheetData>
  <mergeCells count="3">
    <mergeCell ref="B8:Q8"/>
    <mergeCell ref="B16:Q16"/>
    <mergeCell ref="B24:Q24"/>
  </mergeCells>
  <phoneticPr fontId="6" type="noConversion"/>
  <dataValidations count="2">
    <dataValidation type="textLength" allowBlank="1" showInputMessage="1" showErrorMessage="1" errorTitle="Entrada no válida" error="Escriba un texto " promptTitle="Cualquier contenido" sqref="N27:Q27 C27:D27 C19:D20 N11:Q12 C11:D12 N19:Q20" xr:uid="{00000000-0002-0000-0000-000000000000}">
      <formula1>0</formula1>
      <formula2>4000</formula2>
    </dataValidation>
    <dataValidation type="decimal" allowBlank="1" showInputMessage="1" showErrorMessage="1" errorTitle="Entrada no válida" error="Por favor escriba un número" promptTitle="Escriba un número en esta casilla" sqref="E27:M27 E11:M12 E19:M20 I33" xr:uid="{00000000-0002-0000-0000-000002000000}">
      <formula1>-9223372036854770000</formula1>
      <formula2>9223372036854770000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400 CB-0104  SEGUIMIENTO A E...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presupuesto.usme</cp:lastModifiedBy>
  <cp:revision/>
  <dcterms:created xsi:type="dcterms:W3CDTF">2025-02-05T16:40:37Z</dcterms:created>
  <dcterms:modified xsi:type="dcterms:W3CDTF">2026-08-04T17:39:18Z</dcterms:modified>
  <cp:category/>
  <cp:contentStatus/>
</cp:coreProperties>
</file>