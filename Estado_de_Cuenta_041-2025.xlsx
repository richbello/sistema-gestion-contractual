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.bello\Videos\"/>
    </mc:Choice>
  </mc:AlternateContent>
  <xr:revisionPtr revIDLastSave="0" documentId="13_ncr:1_{EDE726D9-1720-4443-A573-967FA2A02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ESTADO DE CUENTA" sheetId="1" r:id="rId1"/>
  </sheets>
  <definedNames>
    <definedName name="_xlnm.Print_Area" localSheetId="0">'FORMATO ESTADO DE CUENTA'!$A$1:$O$71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38" i="1"/>
  <c r="E39" i="1" s="1"/>
  <c r="E40" i="1" s="1"/>
  <c r="E42" i="1" s="1"/>
  <c r="E17" i="1"/>
  <c r="E18" i="1" s="1"/>
  <c r="E19" i="1" s="1"/>
  <c r="E20" i="1" s="1"/>
  <c r="E22" i="1" s="1"/>
  <c r="D42" i="1"/>
  <c r="D22" i="1"/>
  <c r="D62" i="1"/>
  <c r="C67" i="1"/>
  <c r="L35" i="1"/>
  <c r="M31" i="1"/>
  <c r="N35" i="1" s="1"/>
</calcChain>
</file>

<file path=xl/sharedStrings.xml><?xml version="1.0" encoding="utf-8"?>
<sst xmlns="http://schemas.openxmlformats.org/spreadsheetml/2006/main" count="131" uniqueCount="68">
  <si>
    <t>ESTADO DE CUENTA</t>
  </si>
  <si>
    <t>Código: GCO-GCI-F165
Versión: 01
Vigencia: 22 de febrero de 2022
Caso HOLA: 231090</t>
  </si>
  <si>
    <t>DATOS BÁSICOS</t>
  </si>
  <si>
    <t>CTO Y VIG</t>
  </si>
  <si>
    <t>041-2025</t>
  </si>
  <si>
    <t>BP SAP</t>
  </si>
  <si>
    <t xml:space="preserve">CONTRATISTA:       </t>
  </si>
  <si>
    <t>CC/NIT</t>
  </si>
  <si>
    <t>VALOR CONTRATO</t>
  </si>
  <si>
    <t xml:space="preserve">RP SAP1        </t>
  </si>
  <si>
    <t>FECHA INICIO</t>
  </si>
  <si>
    <t>FECHA FINAL</t>
  </si>
  <si>
    <t>VALOR ADICIÓN</t>
  </si>
  <si>
    <t xml:space="preserve">RP ADICIÓN </t>
  </si>
  <si>
    <t>INICIO ADICIÓN</t>
  </si>
  <si>
    <t>FINAL ADICIÓN</t>
  </si>
  <si>
    <t>FECHA INICIO PRORROGA 1</t>
  </si>
  <si>
    <t>FECHA FIN PRORROGA 1</t>
  </si>
  <si>
    <t>RELACIÓN DE PAGOS</t>
  </si>
  <si>
    <t>No.</t>
  </si>
  <si>
    <t>PERIODO</t>
  </si>
  <si>
    <t>VALOR</t>
  </si>
  <si>
    <t>SALDO RP</t>
  </si>
  <si>
    <t>No. DOCUMENTO</t>
  </si>
  <si>
    <t>FECHA RAD. SDH</t>
  </si>
  <si>
    <t>RP SAP</t>
  </si>
  <si>
    <t>CDP</t>
  </si>
  <si>
    <t>RP</t>
  </si>
  <si>
    <t>1 PAGO 13 AL 31 DE MARZO 2025</t>
  </si>
  <si>
    <t>2 PAGO ABRIL DE 2025</t>
  </si>
  <si>
    <t>4-5 PAGO 5 AL  30  JUNIO  2025 cesion</t>
  </si>
  <si>
    <t>5 PAGO JULIO DE 2025  2025 cesion</t>
  </si>
  <si>
    <t>7 PAGO  1 AL  22 DE AGOSTO  2025</t>
  </si>
  <si>
    <t>3 PAGO MAYO DE 2025</t>
  </si>
  <si>
    <t>8 PAGO 23 AL 31 DE AGOSTO DE 2025</t>
  </si>
  <si>
    <t>4 PAGO 1 AL 2 JUNIO DE 2025 CS</t>
  </si>
  <si>
    <t>9 PAGO 1 AL 12 DE SEPTIEMBRE 2025</t>
  </si>
  <si>
    <t>TOTAL</t>
  </si>
  <si>
    <t>CONTROL ASIGNACIÓN BP AL RP PARA CESIÓN</t>
  </si>
  <si>
    <t>CEDENTE</t>
  </si>
  <si>
    <t>N/A</t>
  </si>
  <si>
    <t>CESIONARIO</t>
  </si>
  <si>
    <t>CONTRATISTA</t>
  </si>
  <si>
    <t>VALOR CESION</t>
  </si>
  <si>
    <t>VALOR PENDIENTE A CEDENTE</t>
  </si>
  <si>
    <t>SALDO PARA CESIONARIO</t>
  </si>
  <si>
    <t>RP ADICIÓN</t>
  </si>
  <si>
    <t xml:space="preserve">RP </t>
  </si>
  <si>
    <t>BP NUEVO CONTRATISTA</t>
  </si>
  <si>
    <t>FECHA</t>
  </si>
  <si>
    <t>…</t>
  </si>
  <si>
    <t>Elaboró:  Jorge Andrés González Díaz</t>
  </si>
  <si>
    <t>Richard Bello Roncancio RB</t>
  </si>
  <si>
    <t>Fecha: 27/02/2025</t>
  </si>
  <si>
    <t>Código interno del tercero creado en SAP</t>
  </si>
  <si>
    <t>Código interno del RP creado en SAP</t>
  </si>
  <si>
    <t>INSTRUCCIONES:</t>
  </si>
  <si>
    <t>1. Los campos de datos básicos son de obligatorio diligenciamiento</t>
  </si>
  <si>
    <t>2. Cuando se presente Cesión de contrato, es obligatorio elaborar el estado de cuenta para identificar el valor del saldo del RP que corresponde al cesionario</t>
  </si>
  <si>
    <t>3. Del reporte de Contratos generado en SISPSE, se diligencian los siguientes campos:</t>
  </si>
  <si>
    <t>FINAL ADICION</t>
  </si>
  <si>
    <t>4. Del reporte de Rp vigencia y reserva, se diligencian los campos de BP SAP y RP SAP, CDP y RP</t>
  </si>
  <si>
    <t>5. Del reporte de pagos se diligencia la información contenida en Relación de Pagos</t>
  </si>
  <si>
    <t>DIANA MARCELA AGUILAR TOVAR</t>
  </si>
  <si>
    <t>CESIÓN 1</t>
  </si>
  <si>
    <t>CESIÓN 2</t>
  </si>
  <si>
    <t xml:space="preserve">MARIA DEL PILAR MUJICA SANDOVAL </t>
  </si>
  <si>
    <t>LUZ KARIME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</si>
</sst>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3" formatCode="_-* #,##0.00_-;\-* #,##0.00_-;_-* &quot;-&quot;??_-;_-@_-"/>
    <numFmt numFmtId="164" formatCode="&quot;$&quot;#,##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B0F0"/>
      <name val="Garamond"/>
      <family val="1"/>
    </font>
    <font>
      <b/>
      <sz val="20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2"/>
      <name val="Arial Narrow"/>
      <family val="2"/>
    </font>
    <font>
      <sz val="9"/>
      <color theme="1"/>
      <name val="Arial Narrow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/>
    <xf numFmtId="42" fontId="1" fillId="0" borderId="0"/>
  </cellStyleXfs>
  <cellXfs count="82">
    <xf numFmtId="0" fontId="0" fillId="0" borderId="0" xfId="0"/>
    <xf numFmtId="0" fontId="5" fillId="0" borderId="3" xfId="0" applyFont="1" applyBorder="1"/>
    <xf numFmtId="0" fontId="5" fillId="0" borderId="0" xfId="0" applyFont="1"/>
    <xf numFmtId="0" fontId="0" fillId="0" borderId="4" xfId="0" applyBorder="1"/>
    <xf numFmtId="0" fontId="6" fillId="0" borderId="0" xfId="0" applyFont="1"/>
    <xf numFmtId="42" fontId="5" fillId="0" borderId="9" xfId="2" applyFont="1" applyBorder="1"/>
    <xf numFmtId="0" fontId="5" fillId="0" borderId="9" xfId="0" applyFont="1" applyBorder="1"/>
    <xf numFmtId="16" fontId="0" fillId="0" borderId="4" xfId="0" applyNumberFormat="1" applyBorder="1"/>
    <xf numFmtId="42" fontId="1" fillId="0" borderId="0" xfId="2"/>
    <xf numFmtId="17" fontId="0" fillId="0" borderId="0" xfId="0" applyNumberFormat="1"/>
    <xf numFmtId="0" fontId="6" fillId="0" borderId="9" xfId="0" applyFont="1" applyBorder="1"/>
    <xf numFmtId="0" fontId="6" fillId="0" borderId="9" xfId="2" applyNumberFormat="1" applyFont="1" applyBorder="1"/>
    <xf numFmtId="42" fontId="6" fillId="0" borderId="9" xfId="2" applyFont="1" applyBorder="1"/>
    <xf numFmtId="0" fontId="6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5" fillId="0" borderId="9" xfId="0" applyFont="1" applyBorder="1" applyAlignment="1">
      <alignment vertical="top"/>
    </xf>
    <xf numFmtId="42" fontId="5" fillId="0" borderId="9" xfId="0" applyNumberFormat="1" applyFont="1" applyBorder="1"/>
    <xf numFmtId="14" fontId="0" fillId="0" borderId="10" xfId="0" applyNumberFormat="1" applyBorder="1"/>
    <xf numFmtId="0" fontId="5" fillId="0" borderId="11" xfId="0" applyFont="1" applyBorder="1"/>
    <xf numFmtId="0" fontId="7" fillId="0" borderId="0" xfId="0" applyFont="1"/>
    <xf numFmtId="0" fontId="8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3" xfId="0" applyBorder="1"/>
    <xf numFmtId="0" fontId="2" fillId="0" borderId="0" xfId="0" applyFont="1"/>
    <xf numFmtId="14" fontId="5" fillId="0" borderId="11" xfId="0" applyNumberFormat="1" applyFont="1" applyBorder="1" applyAlignment="1">
      <alignment horizontal="left"/>
    </xf>
    <xf numFmtId="0" fontId="0" fillId="0" borderId="8" xfId="0" applyBorder="1"/>
    <xf numFmtId="0" fontId="3" fillId="0" borderId="1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6" fillId="6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9" fillId="0" borderId="0" xfId="0" applyFont="1"/>
    <xf numFmtId="0" fontId="10" fillId="2" borderId="18" xfId="0" applyFont="1" applyFill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0" fontId="10" fillId="0" borderId="0" xfId="0" applyFont="1"/>
    <xf numFmtId="0" fontId="12" fillId="0" borderId="0" xfId="0" applyFont="1"/>
    <xf numFmtId="0" fontId="11" fillId="0" borderId="0" xfId="0" applyNumberFormat="1" applyFont="1" applyAlignment="1">
      <alignment vertical="top"/>
    </xf>
    <xf numFmtId="0" fontId="10" fillId="0" borderId="0" xfId="0" applyFont="1" applyAlignment="1">
      <alignment vertical="center" wrapText="1"/>
    </xf>
    <xf numFmtId="164" fontId="10" fillId="3" borderId="0" xfId="2" applyNumberFormat="1" applyFont="1" applyFill="1"/>
    <xf numFmtId="14" fontId="9" fillId="0" borderId="0" xfId="0" applyNumberFormat="1" applyFont="1"/>
    <xf numFmtId="0" fontId="10" fillId="4" borderId="9" xfId="0" applyFont="1" applyFill="1" applyBorder="1" applyAlignment="1">
      <alignment horizontal="center"/>
    </xf>
    <xf numFmtId="0" fontId="11" fillId="0" borderId="7" xfId="0" applyFont="1" applyBorder="1"/>
    <xf numFmtId="0" fontId="11" fillId="0" borderId="8" xfId="0" applyFont="1" applyBorder="1"/>
    <xf numFmtId="0" fontId="10" fillId="5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left"/>
    </xf>
    <xf numFmtId="0" fontId="9" fillId="0" borderId="9" xfId="0" applyFont="1" applyBorder="1" applyAlignment="1">
      <alignment horizontal="center"/>
    </xf>
    <xf numFmtId="0" fontId="13" fillId="0" borderId="9" xfId="0" applyFont="1" applyBorder="1" applyAlignment="1">
      <alignment vertical="center"/>
    </xf>
    <xf numFmtId="1" fontId="9" fillId="0" borderId="9" xfId="1" applyNumberFormat="1" applyFont="1" applyBorder="1"/>
    <xf numFmtId="14" fontId="9" fillId="0" borderId="9" xfId="2" applyNumberFormat="1" applyFont="1" applyBorder="1"/>
    <xf numFmtId="0" fontId="11" fillId="0" borderId="9" xfId="0" applyFont="1" applyBorder="1" applyAlignment="1">
      <alignment horizontal="center" vertical="center"/>
    </xf>
    <xf numFmtId="42" fontId="9" fillId="8" borderId="9" xfId="2" applyFont="1" applyFill="1" applyBorder="1"/>
    <xf numFmtId="42" fontId="9" fillId="0" borderId="9" xfId="2" applyFont="1" applyBorder="1"/>
    <xf numFmtId="0" fontId="14" fillId="5" borderId="9" xfId="0" applyFont="1" applyFill="1" applyBorder="1" applyAlignment="1">
      <alignment horizontal="center"/>
    </xf>
    <xf numFmtId="42" fontId="14" fillId="5" borderId="9" xfId="2" applyFont="1" applyFill="1" applyBorder="1"/>
    <xf numFmtId="42" fontId="10" fillId="0" borderId="0" xfId="0" applyNumberFormat="1" applyFont="1"/>
    <xf numFmtId="0" fontId="10" fillId="6" borderId="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42" fontId="10" fillId="0" borderId="0" xfId="2" applyFont="1"/>
    <xf numFmtId="42" fontId="9" fillId="0" borderId="0" xfId="2" applyFont="1"/>
    <xf numFmtId="0" fontId="10" fillId="7" borderId="9" xfId="0" applyFont="1" applyFill="1" applyBorder="1" applyAlignment="1">
      <alignment horizontal="center"/>
    </xf>
    <xf numFmtId="0" fontId="9" fillId="0" borderId="9" xfId="0" applyFont="1" applyBorder="1"/>
    <xf numFmtId="14" fontId="9" fillId="0" borderId="9" xfId="0" applyNumberFormat="1" applyFont="1" applyBorder="1"/>
    <xf numFmtId="0" fontId="10" fillId="5" borderId="9" xfId="0" applyFont="1" applyFill="1" applyBorder="1" applyAlignment="1">
      <alignment horizontal="center"/>
    </xf>
    <xf numFmtId="164" fontId="9" fillId="8" borderId="9" xfId="2" applyNumberFormat="1" applyFont="1" applyFill="1" applyBorder="1" applyAlignment="1">
      <alignment horizontal="center"/>
    </xf>
    <xf numFmtId="164" fontId="9" fillId="0" borderId="9" xfId="2" applyNumberFormat="1" applyFont="1" applyBorder="1" applyAlignment="1">
      <alignment horizontal="center"/>
    </xf>
    <xf numFmtId="14" fontId="9" fillId="0" borderId="9" xfId="2" applyNumberFormat="1" applyFont="1" applyBorder="1" applyAlignment="1">
      <alignment horizontal="center"/>
    </xf>
    <xf numFmtId="164" fontId="14" fillId="5" borderId="9" xfId="0" applyNumberFormat="1" applyFont="1" applyFill="1" applyBorder="1"/>
    <xf numFmtId="0" fontId="9" fillId="0" borderId="9" xfId="1" applyNumberFormat="1" applyFont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9" fillId="0" borderId="0" xfId="0" applyNumberFormat="1" applyFont="1"/>
    <xf numFmtId="164" fontId="14" fillId="5" borderId="9" xfId="2" applyNumberFormat="1" applyFont="1" applyFill="1" applyBorder="1"/>
    <xf numFmtId="0" fontId="9" fillId="0" borderId="9" xfId="0" applyFont="1" applyBorder="1" applyAlignment="1">
      <alignment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3">
    <cellStyle name="Millares" xfId="1" builtinId="3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showGridLines="0" tabSelected="1" view="pageBreakPreview" zoomScale="90" zoomScaleNormal="80" zoomScaleSheetLayoutView="90" workbookViewId="0">
      <selection activeCell="L15" sqref="L15"/>
    </sheetView>
  </sheetViews>
  <sheetFormatPr baseColWidth="10" defaultColWidth="9.140625" defaultRowHeight="15" x14ac:dyDescent="0.25"/>
  <cols>
    <col min="1" max="1" width="3.5703125" customWidth="1"/>
    <col min="2" max="2" width="7.28515625" customWidth="1"/>
    <col min="3" max="3" width="36.42578125" bestFit="1" customWidth="1"/>
    <col min="4" max="4" width="37.5703125" customWidth="1"/>
    <col min="5" max="5" width="26.28515625" bestFit="1" customWidth="1"/>
    <col min="6" max="6" width="20" customWidth="1"/>
    <col min="7" max="7" width="24.140625" customWidth="1"/>
    <col min="8" max="8" width="18.140625" customWidth="1"/>
    <col min="9" max="9" width="13.7109375" customWidth="1"/>
    <col min="10" max="10" width="9.85546875" customWidth="1"/>
    <col min="11" max="11" width="15.5703125" customWidth="1"/>
    <col min="12" max="12" width="39.140625" bestFit="1" customWidth="1"/>
    <col min="13" max="13" width="31.140625" bestFit="1" customWidth="1"/>
    <col min="14" max="14" width="12.85546875" customWidth="1"/>
    <col min="15" max="15" width="14.42578125" customWidth="1"/>
    <col min="16" max="16" width="11.42578125" customWidth="1"/>
    <col min="17" max="17" width="13" bestFit="1" customWidth="1"/>
    <col min="18" max="256" width="11.42578125" customWidth="1"/>
  </cols>
  <sheetData>
    <row r="1" spans="1:15" ht="93" customHeight="1" x14ac:dyDescent="0.25">
      <c r="A1" s="31"/>
      <c r="B1" s="32"/>
      <c r="C1" s="32"/>
      <c r="D1" s="33"/>
      <c r="E1" s="35" t="s">
        <v>0</v>
      </c>
      <c r="F1" s="32"/>
      <c r="G1" s="32"/>
      <c r="H1" s="32"/>
      <c r="I1" s="32"/>
      <c r="J1" s="32"/>
      <c r="K1" s="32"/>
      <c r="L1" s="33"/>
      <c r="M1" s="36" t="s">
        <v>1</v>
      </c>
      <c r="N1" s="32"/>
      <c r="O1" s="33"/>
    </row>
    <row r="2" spans="1:15" ht="16.5" customHeight="1" thickBo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ht="16.5" customHeight="1" thickBot="1" x14ac:dyDescent="0.35">
      <c r="A3" s="1"/>
      <c r="B3" s="37"/>
      <c r="C3" s="38" t="s">
        <v>2</v>
      </c>
      <c r="D3" s="39"/>
      <c r="E3" s="39"/>
      <c r="F3" s="39"/>
      <c r="G3" s="39"/>
      <c r="H3" s="39"/>
      <c r="I3" s="40"/>
      <c r="J3" s="37"/>
      <c r="K3" s="2"/>
      <c r="L3" s="2"/>
      <c r="M3" s="2"/>
      <c r="N3" s="2"/>
      <c r="O3" s="3"/>
    </row>
    <row r="4" spans="1:15" ht="15.75" customHeight="1" x14ac:dyDescent="0.25">
      <c r="A4" s="1"/>
      <c r="B4" s="37"/>
      <c r="C4" s="37"/>
      <c r="D4" s="37"/>
      <c r="E4" s="37"/>
      <c r="F4" s="37"/>
      <c r="G4" s="37"/>
      <c r="H4" s="37"/>
      <c r="I4" s="37"/>
      <c r="J4" s="37"/>
      <c r="K4" s="2"/>
      <c r="L4" s="2"/>
      <c r="M4" s="2"/>
      <c r="N4" s="2"/>
      <c r="O4" s="3"/>
    </row>
    <row r="5" spans="1:15" ht="15.75" customHeight="1" x14ac:dyDescent="0.25">
      <c r="A5" s="1"/>
      <c r="B5" s="37"/>
      <c r="C5" s="41" t="s">
        <v>3</v>
      </c>
      <c r="D5" s="42" t="s">
        <v>4</v>
      </c>
      <c r="E5" s="37"/>
      <c r="F5" s="37"/>
      <c r="G5" s="41" t="s">
        <v>5</v>
      </c>
      <c r="H5" s="43">
        <v>1000364010</v>
      </c>
      <c r="I5" s="37"/>
      <c r="J5" s="37"/>
      <c r="K5" s="2"/>
      <c r="L5" s="2"/>
      <c r="M5" s="2"/>
      <c r="N5" s="2"/>
      <c r="O5" s="3"/>
    </row>
    <row r="6" spans="1:15" ht="15.75" customHeight="1" x14ac:dyDescent="0.25">
      <c r="A6" s="1"/>
      <c r="B6" s="37"/>
      <c r="C6" s="44" t="s">
        <v>6</v>
      </c>
      <c r="D6" s="44" t="s">
        <v>63</v>
      </c>
      <c r="E6" s="44"/>
      <c r="F6" s="44"/>
      <c r="G6" s="41" t="s">
        <v>7</v>
      </c>
      <c r="H6" s="43">
        <v>1110456122</v>
      </c>
      <c r="I6" s="37"/>
      <c r="J6" s="37"/>
      <c r="K6" s="2"/>
      <c r="L6" s="2"/>
      <c r="M6" s="2"/>
      <c r="N6" s="2"/>
      <c r="O6" s="3"/>
    </row>
    <row r="7" spans="1:15" ht="15.75" customHeight="1" x14ac:dyDescent="0.25">
      <c r="A7" s="1"/>
      <c r="B7" s="37"/>
      <c r="C7" s="41" t="s">
        <v>8</v>
      </c>
      <c r="D7" s="45">
        <v>45000000</v>
      </c>
      <c r="E7" s="37"/>
      <c r="F7" s="37"/>
      <c r="G7" s="41" t="s">
        <v>9</v>
      </c>
      <c r="H7" s="43">
        <v>5000859007</v>
      </c>
      <c r="I7" s="37"/>
      <c r="J7" s="37"/>
      <c r="K7" s="2"/>
      <c r="L7" s="2"/>
      <c r="M7" s="2"/>
      <c r="N7" s="2"/>
      <c r="O7" s="3"/>
    </row>
    <row r="8" spans="1:15" ht="15.75" customHeight="1" x14ac:dyDescent="0.25">
      <c r="A8" s="1"/>
      <c r="B8" s="37"/>
      <c r="C8" s="41" t="s">
        <v>10</v>
      </c>
      <c r="D8" s="46">
        <v>45729.208518518521</v>
      </c>
      <c r="E8" s="37"/>
      <c r="F8" s="37"/>
      <c r="G8" s="41" t="s">
        <v>11</v>
      </c>
      <c r="H8" s="46">
        <v>45912.208518518521</v>
      </c>
      <c r="I8" s="46"/>
      <c r="J8" s="37"/>
      <c r="K8" s="2"/>
      <c r="L8" s="2"/>
      <c r="M8" s="2"/>
      <c r="N8" s="2"/>
      <c r="O8" s="3"/>
    </row>
    <row r="9" spans="1:15" ht="15.75" customHeight="1" x14ac:dyDescent="0.25">
      <c r="A9" s="1"/>
      <c r="B9" s="37"/>
      <c r="C9" s="41" t="s">
        <v>12</v>
      </c>
      <c r="D9" s="46"/>
      <c r="E9" s="37"/>
      <c r="F9" s="37"/>
      <c r="G9" s="41" t="s">
        <v>13</v>
      </c>
      <c r="H9" s="46">
        <v>45811</v>
      </c>
      <c r="I9" s="46"/>
      <c r="J9" s="37"/>
      <c r="K9" s="2"/>
      <c r="L9" s="2"/>
      <c r="M9" s="2"/>
      <c r="N9" s="2"/>
      <c r="O9" s="3"/>
    </row>
    <row r="10" spans="1:15" ht="15.75" customHeight="1" x14ac:dyDescent="0.25">
      <c r="A10" s="1"/>
      <c r="B10" s="37"/>
      <c r="C10" s="41" t="s">
        <v>14</v>
      </c>
      <c r="D10" s="46"/>
      <c r="E10" s="37"/>
      <c r="F10" s="37"/>
      <c r="G10" s="41" t="s">
        <v>15</v>
      </c>
      <c r="H10" s="46"/>
      <c r="I10" s="46"/>
      <c r="J10" s="37"/>
      <c r="K10" s="2"/>
      <c r="L10" s="2"/>
      <c r="M10" s="2"/>
      <c r="N10" s="2"/>
      <c r="O10" s="3"/>
    </row>
    <row r="11" spans="1:15" ht="15.75" customHeight="1" x14ac:dyDescent="0.25">
      <c r="A11" s="1"/>
      <c r="B11" s="37"/>
      <c r="C11" s="41" t="s">
        <v>16</v>
      </c>
      <c r="D11" s="46"/>
      <c r="E11" s="37"/>
      <c r="F11" s="37"/>
      <c r="G11" s="41" t="s">
        <v>17</v>
      </c>
      <c r="H11" s="46"/>
      <c r="I11" s="46"/>
      <c r="J11" s="37"/>
      <c r="K11" s="2"/>
      <c r="L11" s="2"/>
      <c r="M11" s="2"/>
      <c r="N11" s="2"/>
      <c r="O11" s="3"/>
    </row>
    <row r="12" spans="1:15" ht="15.75" customHeight="1" x14ac:dyDescent="0.25">
      <c r="A12" s="1"/>
      <c r="B12" s="37"/>
      <c r="C12" s="41"/>
      <c r="D12" s="37"/>
      <c r="E12" s="37"/>
      <c r="F12" s="37"/>
      <c r="G12" s="37"/>
      <c r="H12" s="37"/>
      <c r="I12" s="37"/>
      <c r="J12" s="37"/>
      <c r="K12" s="2"/>
      <c r="L12" s="2"/>
      <c r="M12" s="2"/>
      <c r="N12" s="2"/>
      <c r="O12" s="3"/>
    </row>
    <row r="13" spans="1:15" ht="15.75" customHeight="1" x14ac:dyDescent="0.25">
      <c r="A13" s="1"/>
      <c r="B13" s="37"/>
      <c r="C13" s="37"/>
      <c r="D13" s="37"/>
      <c r="E13" s="37"/>
      <c r="F13" s="37"/>
      <c r="G13" s="37"/>
      <c r="H13" s="37"/>
      <c r="I13" s="37"/>
      <c r="J13" s="37"/>
      <c r="K13" s="2"/>
      <c r="L13" s="2"/>
      <c r="M13" s="2"/>
      <c r="N13" s="2"/>
      <c r="O13" s="3"/>
    </row>
    <row r="14" spans="1:15" ht="15.75" customHeight="1" x14ac:dyDescent="0.3">
      <c r="A14" s="1"/>
      <c r="B14" s="47" t="s">
        <v>18</v>
      </c>
      <c r="C14" s="48"/>
      <c r="D14" s="48"/>
      <c r="E14" s="48"/>
      <c r="F14" s="48"/>
      <c r="G14" s="48"/>
      <c r="H14" s="48"/>
      <c r="I14" s="48"/>
      <c r="J14" s="49"/>
      <c r="K14" s="2"/>
      <c r="L14" s="2"/>
      <c r="M14" s="2"/>
      <c r="N14" s="2"/>
      <c r="O14" s="3"/>
    </row>
    <row r="15" spans="1:15" ht="15.75" customHeight="1" x14ac:dyDescent="0.25">
      <c r="A15" s="1"/>
      <c r="B15" s="37"/>
      <c r="C15" s="37"/>
      <c r="D15" s="37"/>
      <c r="E15" s="37"/>
      <c r="F15" s="37"/>
      <c r="G15" s="37"/>
      <c r="H15" s="37"/>
      <c r="I15" s="37"/>
      <c r="J15" s="37"/>
      <c r="K15" s="2"/>
      <c r="L15" s="2"/>
      <c r="M15" s="2"/>
      <c r="N15" s="2"/>
      <c r="O15" s="3"/>
    </row>
    <row r="16" spans="1:15" ht="15.75" customHeight="1" x14ac:dyDescent="0.25">
      <c r="A16" s="1"/>
      <c r="B16" s="50" t="s">
        <v>19</v>
      </c>
      <c r="C16" s="50" t="s">
        <v>20</v>
      </c>
      <c r="D16" s="50" t="s">
        <v>21</v>
      </c>
      <c r="E16" s="50" t="s">
        <v>22</v>
      </c>
      <c r="F16" s="51" t="s">
        <v>23</v>
      </c>
      <c r="G16" s="50" t="s">
        <v>24</v>
      </c>
      <c r="H16" s="50" t="s">
        <v>25</v>
      </c>
      <c r="I16" s="50" t="s">
        <v>26</v>
      </c>
      <c r="J16" s="50" t="s">
        <v>27</v>
      </c>
      <c r="K16" s="2"/>
      <c r="L16" s="2"/>
      <c r="M16" s="2"/>
      <c r="N16" s="2"/>
      <c r="O16" s="3"/>
    </row>
    <row r="17" spans="1:17" ht="15.75" customHeight="1" x14ac:dyDescent="0.25">
      <c r="A17" s="1"/>
      <c r="B17" s="52">
        <v>1</v>
      </c>
      <c r="C17" s="79" t="s">
        <v>28</v>
      </c>
      <c r="D17" s="70">
        <v>4500000</v>
      </c>
      <c r="E17" s="71">
        <f>+D7-D17</f>
        <v>40500000</v>
      </c>
      <c r="F17" s="74">
        <v>5002671642</v>
      </c>
      <c r="G17" s="72">
        <v>45769.208518518521</v>
      </c>
      <c r="H17" s="80">
        <v>5000859007</v>
      </c>
      <c r="I17" s="80">
        <v>1197</v>
      </c>
      <c r="J17" s="80">
        <v>1238</v>
      </c>
      <c r="K17" s="2"/>
      <c r="L17" s="2"/>
      <c r="M17" s="2"/>
      <c r="N17" s="2"/>
      <c r="O17" s="3"/>
    </row>
    <row r="18" spans="1:17" ht="15.75" customHeight="1" x14ac:dyDescent="0.25">
      <c r="A18" s="1"/>
      <c r="B18" s="52">
        <v>2</v>
      </c>
      <c r="C18" s="79" t="s">
        <v>29</v>
      </c>
      <c r="D18" s="70">
        <v>7500000</v>
      </c>
      <c r="E18" s="71">
        <f>+E17-D18</f>
        <v>33000000</v>
      </c>
      <c r="F18" s="74">
        <v>5002863970</v>
      </c>
      <c r="G18" s="72">
        <v>45789.208518518521</v>
      </c>
      <c r="H18" s="80">
        <v>5000859007</v>
      </c>
      <c r="I18" s="80">
        <v>1197</v>
      </c>
      <c r="J18" s="80">
        <v>1238</v>
      </c>
      <c r="K18" s="2"/>
      <c r="L18" s="2"/>
      <c r="M18" s="2"/>
      <c r="N18" s="2"/>
      <c r="O18" s="3"/>
    </row>
    <row r="19" spans="1:17" ht="15.75" customHeight="1" x14ac:dyDescent="0.25">
      <c r="A19" s="1"/>
      <c r="B19" s="52">
        <v>6</v>
      </c>
      <c r="C19" s="79" t="s">
        <v>33</v>
      </c>
      <c r="D19" s="70">
        <v>7500000</v>
      </c>
      <c r="E19" s="71">
        <f t="shared" ref="E19:E20" si="0">+E18-D19</f>
        <v>25500000</v>
      </c>
      <c r="F19" s="74">
        <v>5005242856</v>
      </c>
      <c r="G19" s="72">
        <v>45953.208518518521</v>
      </c>
      <c r="H19" s="80">
        <v>5000859007</v>
      </c>
      <c r="I19" s="80">
        <v>1197</v>
      </c>
      <c r="J19" s="80">
        <v>1238</v>
      </c>
      <c r="K19" s="2"/>
      <c r="L19" s="2"/>
      <c r="M19" s="2"/>
      <c r="N19" s="2"/>
      <c r="O19" s="3"/>
    </row>
    <row r="20" spans="1:17" ht="15.75" customHeight="1" x14ac:dyDescent="0.25">
      <c r="A20" s="1"/>
      <c r="B20" s="52">
        <v>3</v>
      </c>
      <c r="C20" s="79" t="s">
        <v>30</v>
      </c>
      <c r="D20" s="70">
        <v>500000</v>
      </c>
      <c r="E20" s="71">
        <f t="shared" si="0"/>
        <v>25000000</v>
      </c>
      <c r="F20" s="74">
        <v>5003470838</v>
      </c>
      <c r="G20" s="72">
        <v>45845.208518518521</v>
      </c>
      <c r="H20" s="80">
        <v>5000859007</v>
      </c>
      <c r="I20" s="80">
        <v>1197</v>
      </c>
      <c r="J20" s="80">
        <v>1238</v>
      </c>
      <c r="K20" s="2"/>
      <c r="L20" s="2"/>
      <c r="M20" s="2"/>
      <c r="N20" s="2"/>
      <c r="O20" s="3"/>
    </row>
    <row r="21" spans="1:17" ht="15.75" customHeight="1" x14ac:dyDescent="0.25">
      <c r="A21" s="1"/>
      <c r="B21" s="52">
        <v>10</v>
      </c>
      <c r="C21" s="53"/>
      <c r="D21" s="57"/>
      <c r="E21" s="58"/>
      <c r="F21" s="54"/>
      <c r="G21" s="55"/>
      <c r="H21" s="56"/>
      <c r="I21" s="56"/>
      <c r="J21" s="56"/>
      <c r="K21" s="2"/>
      <c r="L21" s="2"/>
      <c r="M21" s="2"/>
      <c r="N21" s="2"/>
      <c r="O21" s="3"/>
    </row>
    <row r="22" spans="1:17" ht="18.75" customHeight="1" x14ac:dyDescent="0.3">
      <c r="A22" s="1"/>
      <c r="B22" s="59" t="s">
        <v>37</v>
      </c>
      <c r="C22" s="49"/>
      <c r="D22" s="78">
        <f>+D17+D18+D19+D20</f>
        <v>20000000</v>
      </c>
      <c r="E22" s="73">
        <f>+E20</f>
        <v>25000000</v>
      </c>
      <c r="F22" s="61"/>
      <c r="G22" s="37"/>
      <c r="H22" s="37"/>
      <c r="I22" s="37"/>
      <c r="J22" s="37"/>
      <c r="K22" s="2"/>
      <c r="L22" s="2"/>
      <c r="M22" s="2"/>
      <c r="N22" s="2"/>
      <c r="O22" s="3"/>
    </row>
    <row r="23" spans="1:17" ht="15.75" customHeight="1" x14ac:dyDescent="0.25">
      <c r="A23" s="1"/>
      <c r="B23" s="37"/>
      <c r="C23" s="37"/>
      <c r="D23" s="37"/>
      <c r="E23" s="37"/>
      <c r="F23" s="41"/>
      <c r="G23" s="37"/>
      <c r="H23" s="37"/>
      <c r="I23" s="37"/>
      <c r="J23" s="37"/>
      <c r="K23" s="2"/>
      <c r="L23" s="2"/>
      <c r="M23" s="2"/>
      <c r="N23" s="2"/>
      <c r="O23" s="3"/>
    </row>
    <row r="24" spans="1:17" ht="15.75" customHeight="1" x14ac:dyDescent="0.3">
      <c r="A24" s="1"/>
      <c r="B24" s="62" t="s">
        <v>64</v>
      </c>
      <c r="C24" s="48"/>
      <c r="D24" s="48"/>
      <c r="E24" s="48"/>
      <c r="F24" s="48"/>
      <c r="G24" s="48"/>
      <c r="H24" s="48"/>
      <c r="I24" s="48"/>
      <c r="J24" s="49"/>
      <c r="K24" s="2"/>
      <c r="L24" s="34" t="s">
        <v>38</v>
      </c>
      <c r="M24" s="30"/>
      <c r="N24" s="2"/>
      <c r="O24" s="7"/>
      <c r="Q24" s="8"/>
    </row>
    <row r="25" spans="1:17" ht="16.5" customHeight="1" thickBot="1" x14ac:dyDescent="0.3">
      <c r="A25" s="1"/>
      <c r="B25" s="63"/>
      <c r="C25" s="63"/>
      <c r="D25" s="63"/>
      <c r="E25" s="63"/>
      <c r="F25" s="63"/>
      <c r="G25" s="63"/>
      <c r="H25" s="63"/>
      <c r="I25" s="63"/>
      <c r="J25" s="63"/>
      <c r="K25" s="2"/>
      <c r="L25" s="2"/>
      <c r="M25" s="2"/>
      <c r="N25" s="2"/>
      <c r="O25" s="3"/>
      <c r="P25" s="9"/>
      <c r="Q25" s="8"/>
    </row>
    <row r="26" spans="1:17" ht="16.5" customHeight="1" thickBot="1" x14ac:dyDescent="0.35">
      <c r="A26" s="1"/>
      <c r="B26" s="63"/>
      <c r="C26" s="38" t="s">
        <v>2</v>
      </c>
      <c r="D26" s="39"/>
      <c r="E26" s="39"/>
      <c r="F26" s="39"/>
      <c r="G26" s="39"/>
      <c r="H26" s="39"/>
      <c r="I26" s="40"/>
      <c r="J26" s="63"/>
      <c r="K26" s="2"/>
      <c r="L26" s="10" t="s">
        <v>39</v>
      </c>
      <c r="M26" s="6" t="s">
        <v>40</v>
      </c>
      <c r="N26" s="2"/>
      <c r="O26" s="7"/>
      <c r="Q26" s="8"/>
    </row>
    <row r="27" spans="1:17" ht="15.75" customHeight="1" x14ac:dyDescent="0.25">
      <c r="A27" s="1"/>
      <c r="B27" s="37"/>
      <c r="C27" s="37"/>
      <c r="D27" s="37"/>
      <c r="E27" s="37"/>
      <c r="F27" s="37"/>
      <c r="G27" s="37"/>
      <c r="H27" s="37"/>
      <c r="I27" s="37"/>
      <c r="J27" s="37"/>
      <c r="K27" s="2"/>
      <c r="L27" s="10" t="s">
        <v>41</v>
      </c>
      <c r="M27" s="6" t="s">
        <v>40</v>
      </c>
      <c r="N27" s="2"/>
      <c r="O27" s="3"/>
      <c r="Q27" s="8"/>
    </row>
    <row r="28" spans="1:17" ht="15.75" customHeight="1" x14ac:dyDescent="0.25">
      <c r="A28" s="1"/>
      <c r="B28" s="37"/>
      <c r="C28" s="41" t="s">
        <v>3</v>
      </c>
      <c r="D28" s="42" t="s">
        <v>4</v>
      </c>
      <c r="E28" s="37"/>
      <c r="F28" s="37"/>
      <c r="G28" s="41" t="s">
        <v>5</v>
      </c>
      <c r="H28" s="77">
        <v>1000219559</v>
      </c>
      <c r="I28" s="37"/>
      <c r="J28" s="37"/>
      <c r="K28" s="2"/>
      <c r="L28" s="10" t="s">
        <v>25</v>
      </c>
      <c r="M28" s="11" t="s">
        <v>40</v>
      </c>
      <c r="N28" s="2"/>
      <c r="O28" s="3"/>
      <c r="Q28" s="8"/>
    </row>
    <row r="29" spans="1:17" ht="15.75" customHeight="1" x14ac:dyDescent="0.25">
      <c r="A29" s="1"/>
      <c r="B29" s="37"/>
      <c r="C29" s="41" t="s">
        <v>42</v>
      </c>
      <c r="D29" s="41" t="s">
        <v>66</v>
      </c>
      <c r="E29" s="37"/>
      <c r="F29" s="37"/>
      <c r="G29" s="41" t="s">
        <v>7</v>
      </c>
      <c r="H29" s="77">
        <v>52535501</v>
      </c>
      <c r="I29" s="37"/>
      <c r="J29" s="37"/>
      <c r="K29" s="2"/>
      <c r="L29" s="10" t="s">
        <v>22</v>
      </c>
      <c r="M29" s="12">
        <v>0</v>
      </c>
      <c r="N29" s="2"/>
      <c r="O29" s="3"/>
      <c r="Q29" s="8"/>
    </row>
    <row r="30" spans="1:17" ht="15.75" customHeight="1" x14ac:dyDescent="0.25">
      <c r="A30" s="1"/>
      <c r="B30" s="37"/>
      <c r="C30" s="41" t="s">
        <v>43</v>
      </c>
      <c r="D30" s="64">
        <v>25000000</v>
      </c>
      <c r="E30" s="37"/>
      <c r="F30" s="37"/>
      <c r="G30" s="41" t="s">
        <v>25</v>
      </c>
      <c r="H30" s="37">
        <v>5000859007</v>
      </c>
      <c r="I30" s="37"/>
      <c r="J30" s="37"/>
      <c r="K30" s="2"/>
      <c r="L30" s="10" t="s">
        <v>44</v>
      </c>
      <c r="M30" s="5">
        <v>0</v>
      </c>
      <c r="N30" s="2"/>
      <c r="O30" s="3"/>
      <c r="Q30" s="8"/>
    </row>
    <row r="31" spans="1:17" ht="15.75" customHeight="1" x14ac:dyDescent="0.25">
      <c r="A31" s="1"/>
      <c r="B31" s="37"/>
      <c r="C31" s="41" t="s">
        <v>10</v>
      </c>
      <c r="D31" s="46">
        <v>45812</v>
      </c>
      <c r="E31" s="37"/>
      <c r="F31" s="37"/>
      <c r="G31" s="41" t="s">
        <v>11</v>
      </c>
      <c r="H31" s="46">
        <v>45890</v>
      </c>
      <c r="I31" s="46"/>
      <c r="J31" s="37"/>
      <c r="K31" s="2"/>
      <c r="L31" s="10" t="s">
        <v>45</v>
      </c>
      <c r="M31" s="5">
        <f>+M29-M30</f>
        <v>0</v>
      </c>
      <c r="N31" s="2"/>
      <c r="O31" s="3"/>
    </row>
    <row r="32" spans="1:17" ht="15.75" customHeight="1" x14ac:dyDescent="0.25">
      <c r="A32" s="1"/>
      <c r="B32" s="37"/>
      <c r="C32" s="41" t="s">
        <v>12</v>
      </c>
      <c r="D32" s="65"/>
      <c r="E32" s="37"/>
      <c r="F32" s="37"/>
      <c r="G32" s="41" t="s">
        <v>46</v>
      </c>
      <c r="H32" s="37"/>
      <c r="I32" s="37"/>
      <c r="J32" s="37"/>
      <c r="K32" s="2"/>
      <c r="L32" s="2"/>
      <c r="M32" s="2"/>
      <c r="N32" s="2"/>
      <c r="O32" s="3"/>
    </row>
    <row r="33" spans="1:15" ht="15.75" customHeight="1" x14ac:dyDescent="0.25">
      <c r="A33" s="1"/>
      <c r="B33" s="37"/>
      <c r="C33" s="41" t="s">
        <v>14</v>
      </c>
      <c r="D33" s="46"/>
      <c r="E33" s="37"/>
      <c r="F33" s="37"/>
      <c r="G33" s="41" t="s">
        <v>15</v>
      </c>
      <c r="H33" s="37"/>
      <c r="I33" s="46"/>
      <c r="J33" s="37"/>
      <c r="K33" s="2"/>
      <c r="L33" s="2"/>
      <c r="M33" s="2"/>
      <c r="N33" s="2"/>
      <c r="O33" s="3"/>
    </row>
    <row r="34" spans="1:15" ht="15.75" customHeight="1" x14ac:dyDescent="0.25">
      <c r="A34" s="1"/>
      <c r="B34" s="37"/>
      <c r="C34" s="41"/>
      <c r="D34" s="37"/>
      <c r="E34" s="37"/>
      <c r="F34" s="37"/>
      <c r="G34" s="37"/>
      <c r="H34" s="41"/>
      <c r="I34" s="37"/>
      <c r="J34" s="37"/>
      <c r="K34" s="2"/>
      <c r="L34" s="13" t="s">
        <v>47</v>
      </c>
      <c r="M34" s="13" t="s">
        <v>48</v>
      </c>
      <c r="N34" s="13" t="s">
        <v>21</v>
      </c>
      <c r="O34" s="14" t="s">
        <v>49</v>
      </c>
    </row>
    <row r="35" spans="1:15" ht="15.75" customHeight="1" x14ac:dyDescent="0.3">
      <c r="A35" s="1"/>
      <c r="B35" s="66" t="s">
        <v>18</v>
      </c>
      <c r="C35" s="48"/>
      <c r="D35" s="48"/>
      <c r="E35" s="48"/>
      <c r="F35" s="48"/>
      <c r="G35" s="48"/>
      <c r="H35" s="48"/>
      <c r="I35" s="48"/>
      <c r="J35" s="49"/>
      <c r="K35" s="2"/>
      <c r="L35" s="15" t="str">
        <f>+M28</f>
        <v>N/A</v>
      </c>
      <c r="M35" s="6"/>
      <c r="N35" s="16">
        <f>+M31</f>
        <v>0</v>
      </c>
      <c r="O35" s="17"/>
    </row>
    <row r="36" spans="1:15" ht="15.75" customHeight="1" x14ac:dyDescent="0.25">
      <c r="A36" s="1"/>
      <c r="B36" s="37"/>
      <c r="C36" s="37"/>
      <c r="D36" s="37"/>
      <c r="E36" s="37"/>
      <c r="F36" s="37"/>
      <c r="G36" s="37"/>
      <c r="H36" s="37"/>
      <c r="I36" s="37"/>
      <c r="J36" s="37"/>
      <c r="K36" s="2"/>
      <c r="L36" s="2"/>
      <c r="M36" s="2"/>
      <c r="N36" s="2"/>
      <c r="O36" s="3"/>
    </row>
    <row r="37" spans="1:15" ht="15.75" customHeight="1" x14ac:dyDescent="0.25">
      <c r="A37" s="1"/>
      <c r="B37" s="50" t="s">
        <v>19</v>
      </c>
      <c r="C37" s="50" t="s">
        <v>20</v>
      </c>
      <c r="D37" s="50" t="s">
        <v>21</v>
      </c>
      <c r="E37" s="50" t="s">
        <v>22</v>
      </c>
      <c r="F37" s="50" t="s">
        <v>23</v>
      </c>
      <c r="G37" s="50" t="s">
        <v>24</v>
      </c>
      <c r="H37" s="50" t="s">
        <v>25</v>
      </c>
      <c r="I37" s="50" t="s">
        <v>26</v>
      </c>
      <c r="J37" s="50" t="s">
        <v>27</v>
      </c>
      <c r="K37" s="2"/>
      <c r="L37" s="2"/>
      <c r="M37" s="2"/>
      <c r="N37" s="2"/>
      <c r="O37" s="3"/>
    </row>
    <row r="38" spans="1:15" ht="15.75" customHeight="1" x14ac:dyDescent="0.25">
      <c r="A38" s="1"/>
      <c r="B38" s="52">
        <v>1</v>
      </c>
      <c r="C38" s="79" t="s">
        <v>35</v>
      </c>
      <c r="D38" s="70">
        <v>6500000</v>
      </c>
      <c r="E38" s="71">
        <f>+D30-D38</f>
        <v>18500000</v>
      </c>
      <c r="F38" s="74">
        <v>5006546773</v>
      </c>
      <c r="G38" s="72">
        <v>46009.208518518521</v>
      </c>
      <c r="H38" s="80">
        <v>5000859007</v>
      </c>
      <c r="I38" s="80">
        <v>1197</v>
      </c>
      <c r="J38" s="80">
        <v>1238</v>
      </c>
      <c r="K38" s="2"/>
      <c r="L38" s="2"/>
      <c r="M38" s="2"/>
      <c r="N38" s="2"/>
      <c r="O38" s="3"/>
    </row>
    <row r="39" spans="1:15" ht="15.75" customHeight="1" x14ac:dyDescent="0.25">
      <c r="A39" s="1"/>
      <c r="B39" s="52">
        <v>2</v>
      </c>
      <c r="C39" s="79" t="s">
        <v>31</v>
      </c>
      <c r="D39" s="70">
        <v>7500000</v>
      </c>
      <c r="E39" s="71">
        <f>+E38-D39</f>
        <v>11000000</v>
      </c>
      <c r="F39" s="74">
        <v>5004072467</v>
      </c>
      <c r="G39" s="72">
        <v>45884.208518518521</v>
      </c>
      <c r="H39" s="80">
        <v>5000859007</v>
      </c>
      <c r="I39" s="81">
        <v>1197</v>
      </c>
      <c r="J39" s="81">
        <v>1238</v>
      </c>
      <c r="K39" s="2"/>
      <c r="L39" s="2"/>
      <c r="M39" s="2"/>
      <c r="N39" s="2"/>
      <c r="O39" s="3"/>
    </row>
    <row r="40" spans="1:15" ht="15.75" customHeight="1" x14ac:dyDescent="0.25">
      <c r="A40" s="1"/>
      <c r="B40" s="52">
        <v>3</v>
      </c>
      <c r="C40" s="79" t="s">
        <v>32</v>
      </c>
      <c r="D40" s="70">
        <v>5500000</v>
      </c>
      <c r="E40" s="71">
        <f>+E39-D40</f>
        <v>5500000</v>
      </c>
      <c r="F40" s="74">
        <v>5004856800</v>
      </c>
      <c r="G40" s="72">
        <v>45924.208518518521</v>
      </c>
      <c r="H40" s="80">
        <v>5000859007</v>
      </c>
      <c r="I40" s="80">
        <v>1197</v>
      </c>
      <c r="J40" s="80">
        <v>1238</v>
      </c>
      <c r="K40" s="2"/>
      <c r="L40" s="2"/>
      <c r="M40" s="2"/>
      <c r="N40" s="2"/>
      <c r="O40" s="3"/>
    </row>
    <row r="41" spans="1:15" ht="15.75" customHeight="1" x14ac:dyDescent="0.25">
      <c r="A41" s="1"/>
      <c r="B41" s="52" t="s">
        <v>50</v>
      </c>
      <c r="C41" s="67"/>
      <c r="D41" s="58"/>
      <c r="E41" s="58"/>
      <c r="F41" s="58"/>
      <c r="G41" s="68"/>
      <c r="H41" s="67"/>
      <c r="I41" s="67"/>
      <c r="J41" s="67"/>
      <c r="K41" s="2"/>
      <c r="L41" s="2"/>
      <c r="M41" s="2"/>
      <c r="N41" s="2"/>
      <c r="O41" s="3"/>
    </row>
    <row r="42" spans="1:15" ht="15.75" customHeight="1" x14ac:dyDescent="0.3">
      <c r="A42" s="1"/>
      <c r="B42" s="69" t="s">
        <v>37</v>
      </c>
      <c r="C42" s="49"/>
      <c r="D42" s="78">
        <f>SUM(D38:D41)</f>
        <v>19500000</v>
      </c>
      <c r="E42" s="73">
        <f>+E40</f>
        <v>5500000</v>
      </c>
      <c r="F42" s="61"/>
      <c r="G42" s="37"/>
      <c r="H42" s="37"/>
      <c r="I42" s="37"/>
      <c r="J42" s="37"/>
      <c r="K42" s="2"/>
      <c r="L42" s="2"/>
      <c r="M42" s="2"/>
      <c r="N42" s="2"/>
      <c r="O42" s="3"/>
    </row>
    <row r="43" spans="1:15" ht="15.75" customHeight="1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</row>
    <row r="44" spans="1:15" ht="15.75" customHeight="1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</row>
    <row r="45" spans="1:15" ht="15.75" customHeight="1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</row>
    <row r="46" spans="1:15" ht="15.75" customHeight="1" x14ac:dyDescent="0.25">
      <c r="A46" s="75" t="s">
        <v>65</v>
      </c>
      <c r="B46" s="76"/>
      <c r="C46" s="76"/>
      <c r="D46" s="76"/>
      <c r="E46" s="76"/>
      <c r="F46" s="76"/>
      <c r="G46" s="76"/>
      <c r="H46" s="76"/>
      <c r="I46" s="76"/>
      <c r="J46" s="76"/>
      <c r="K46" s="2"/>
      <c r="L46" s="2"/>
      <c r="M46" s="2"/>
      <c r="N46" s="2"/>
      <c r="O46" s="3"/>
    </row>
    <row r="47" spans="1:15" ht="15.75" customHeight="1" thickBo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</row>
    <row r="48" spans="1:15" ht="15.75" customHeight="1" thickBot="1" x14ac:dyDescent="0.35">
      <c r="A48" s="1"/>
      <c r="B48" s="63"/>
      <c r="C48" s="38" t="s">
        <v>2</v>
      </c>
      <c r="D48" s="39"/>
      <c r="E48" s="39"/>
      <c r="F48" s="39"/>
      <c r="G48" s="39"/>
      <c r="H48" s="39"/>
      <c r="I48" s="40"/>
      <c r="J48" s="63"/>
      <c r="K48" s="2"/>
      <c r="L48" s="2"/>
      <c r="M48" s="2"/>
      <c r="N48" s="2"/>
      <c r="O48" s="3"/>
    </row>
    <row r="49" spans="1:15" ht="15.75" x14ac:dyDescent="0.25">
      <c r="A49" s="1"/>
      <c r="B49" s="37"/>
      <c r="C49" s="37"/>
      <c r="D49" s="37"/>
      <c r="E49" s="37"/>
      <c r="F49" s="37"/>
      <c r="G49" s="37"/>
      <c r="H49" s="37"/>
      <c r="I49" s="37"/>
      <c r="J49" s="37"/>
      <c r="K49" s="2"/>
      <c r="L49" s="2"/>
      <c r="M49" s="2"/>
      <c r="N49" s="2"/>
      <c r="O49" s="3"/>
    </row>
    <row r="50" spans="1:15" ht="15.75" x14ac:dyDescent="0.25">
      <c r="A50" s="1"/>
      <c r="B50" s="37"/>
      <c r="C50" s="41" t="s">
        <v>3</v>
      </c>
      <c r="D50" s="42" t="s">
        <v>4</v>
      </c>
      <c r="E50" s="37"/>
      <c r="F50" s="37"/>
      <c r="G50" s="41" t="s">
        <v>5</v>
      </c>
      <c r="H50" s="77">
        <v>1009398806</v>
      </c>
      <c r="I50" s="37"/>
      <c r="J50" s="37"/>
      <c r="K50" s="2"/>
      <c r="L50" s="2"/>
      <c r="M50" s="2"/>
      <c r="N50" s="2"/>
      <c r="O50" s="3"/>
    </row>
    <row r="51" spans="1:15" ht="15.75" x14ac:dyDescent="0.25">
      <c r="A51" s="1"/>
      <c r="B51" s="37"/>
      <c r="C51" s="41" t="s">
        <v>42</v>
      </c>
      <c r="D51" s="41" t="s">
        <v>67</v>
      </c>
      <c r="E51" s="37"/>
      <c r="F51" s="37"/>
      <c r="G51" s="41" t="s">
        <v>7</v>
      </c>
      <c r="H51" s="77">
        <v>1018492884</v>
      </c>
      <c r="I51" s="37"/>
      <c r="J51" s="37"/>
      <c r="K51" s="2"/>
      <c r="L51" s="2"/>
      <c r="M51" s="2"/>
      <c r="N51" s="2"/>
      <c r="O51" s="3"/>
    </row>
    <row r="52" spans="1:15" ht="15.75" x14ac:dyDescent="0.25">
      <c r="A52" s="1"/>
      <c r="B52" s="37"/>
      <c r="C52" s="41" t="s">
        <v>43</v>
      </c>
      <c r="D52" s="64">
        <v>19500000</v>
      </c>
      <c r="E52" s="37"/>
      <c r="F52" s="37"/>
      <c r="G52" s="41" t="s">
        <v>25</v>
      </c>
      <c r="H52" s="37">
        <v>5000859007</v>
      </c>
      <c r="I52" s="37"/>
      <c r="J52" s="37"/>
      <c r="K52" s="2"/>
      <c r="L52" s="2"/>
      <c r="M52" s="2"/>
      <c r="N52" s="2"/>
      <c r="O52" s="3"/>
    </row>
    <row r="53" spans="1:15" ht="15.75" x14ac:dyDescent="0.25">
      <c r="A53" s="1"/>
      <c r="B53" s="37"/>
      <c r="C53" s="41" t="s">
        <v>10</v>
      </c>
      <c r="D53" s="46">
        <v>45892</v>
      </c>
      <c r="E53" s="37"/>
      <c r="F53" s="37"/>
      <c r="G53" s="41" t="s">
        <v>11</v>
      </c>
      <c r="H53" s="46">
        <v>45912</v>
      </c>
      <c r="I53" s="46"/>
      <c r="J53" s="37"/>
      <c r="K53" s="2"/>
      <c r="L53" s="2"/>
      <c r="M53" s="2"/>
      <c r="N53" s="2"/>
      <c r="O53" s="3"/>
    </row>
    <row r="54" spans="1:15" ht="15.75" x14ac:dyDescent="0.25">
      <c r="A54" s="1"/>
      <c r="B54" s="37"/>
      <c r="C54" s="41" t="s">
        <v>12</v>
      </c>
      <c r="D54" s="65"/>
      <c r="E54" s="37"/>
      <c r="F54" s="37"/>
      <c r="G54" s="41" t="s">
        <v>46</v>
      </c>
      <c r="H54" s="37"/>
      <c r="I54" s="37"/>
      <c r="J54" s="37"/>
      <c r="K54" s="2"/>
      <c r="L54" s="2"/>
      <c r="M54" s="2"/>
      <c r="N54" s="2"/>
      <c r="O54" s="3"/>
    </row>
    <row r="55" spans="1:15" ht="15.75" x14ac:dyDescent="0.25">
      <c r="A55" s="1"/>
      <c r="B55" s="37"/>
      <c r="C55" s="41" t="s">
        <v>14</v>
      </c>
      <c r="D55" s="46"/>
      <c r="E55" s="37"/>
      <c r="F55" s="37"/>
      <c r="G55" s="41" t="s">
        <v>15</v>
      </c>
      <c r="H55" s="37"/>
      <c r="I55" s="46"/>
      <c r="J55" s="37"/>
      <c r="K55" s="2"/>
      <c r="L55" s="2"/>
      <c r="M55" s="2"/>
      <c r="N55" s="2"/>
      <c r="O55" s="3"/>
    </row>
    <row r="56" spans="1:15" ht="15.75" x14ac:dyDescent="0.25">
      <c r="A56" s="1"/>
      <c r="B56" s="37"/>
      <c r="C56" s="41"/>
      <c r="D56" s="37"/>
      <c r="E56" s="37"/>
      <c r="F56" s="37"/>
      <c r="G56" s="37"/>
      <c r="H56" s="41"/>
      <c r="I56" s="37"/>
      <c r="J56" s="37"/>
      <c r="K56" s="2"/>
      <c r="L56" s="2"/>
      <c r="M56" s="2"/>
      <c r="N56" s="2"/>
      <c r="O56" s="3"/>
    </row>
    <row r="57" spans="1:15" ht="15.75" customHeight="1" x14ac:dyDescent="0.3">
      <c r="A57" s="1"/>
      <c r="B57" s="66" t="s">
        <v>18</v>
      </c>
      <c r="C57" s="48"/>
      <c r="D57" s="48"/>
      <c r="E57" s="48"/>
      <c r="F57" s="48"/>
      <c r="G57" s="48"/>
      <c r="H57" s="48"/>
      <c r="I57" s="48"/>
      <c r="J57" s="49"/>
      <c r="K57" s="2"/>
      <c r="L57" s="2"/>
      <c r="M57" s="2"/>
      <c r="N57" s="2"/>
      <c r="O57" s="3"/>
    </row>
    <row r="58" spans="1:15" ht="15.75" x14ac:dyDescent="0.25">
      <c r="A58" s="1"/>
      <c r="B58" s="37"/>
      <c r="C58" s="37"/>
      <c r="D58" s="37"/>
      <c r="E58" s="37"/>
      <c r="F58" s="37"/>
      <c r="G58" s="37"/>
      <c r="H58" s="37"/>
      <c r="I58" s="37"/>
      <c r="J58" s="37"/>
      <c r="K58" s="2"/>
      <c r="L58" s="2"/>
      <c r="M58" s="2"/>
      <c r="N58" s="2"/>
      <c r="O58" s="3"/>
    </row>
    <row r="59" spans="1:15" ht="15.75" x14ac:dyDescent="0.25">
      <c r="A59" s="1"/>
      <c r="B59" s="50" t="s">
        <v>19</v>
      </c>
      <c r="C59" s="50" t="s">
        <v>20</v>
      </c>
      <c r="D59" s="50" t="s">
        <v>21</v>
      </c>
      <c r="E59" s="50" t="s">
        <v>22</v>
      </c>
      <c r="F59" s="50" t="s">
        <v>23</v>
      </c>
      <c r="G59" s="50" t="s">
        <v>24</v>
      </c>
      <c r="H59" s="50" t="s">
        <v>25</v>
      </c>
      <c r="I59" s="50" t="s">
        <v>26</v>
      </c>
      <c r="J59" s="50" t="s">
        <v>27</v>
      </c>
      <c r="K59" s="2"/>
      <c r="L59" s="2"/>
      <c r="M59" s="2"/>
      <c r="N59" s="2"/>
      <c r="O59" s="3"/>
    </row>
    <row r="60" spans="1:15" ht="15.75" x14ac:dyDescent="0.25">
      <c r="A60" s="1"/>
      <c r="B60" s="52">
        <v>1</v>
      </c>
      <c r="C60" s="79" t="s">
        <v>34</v>
      </c>
      <c r="D60" s="70">
        <v>2000000</v>
      </c>
      <c r="E60" s="71">
        <v>4000000</v>
      </c>
      <c r="F60" s="74">
        <v>5005299455</v>
      </c>
      <c r="G60" s="72">
        <v>45957.208518518521</v>
      </c>
      <c r="H60" s="80">
        <v>5000859007</v>
      </c>
      <c r="I60" s="80">
        <v>1197</v>
      </c>
      <c r="J60" s="80">
        <v>1238</v>
      </c>
      <c r="K60" s="2"/>
      <c r="L60" s="2"/>
      <c r="M60" s="2"/>
      <c r="N60" s="2"/>
      <c r="O60" s="3"/>
    </row>
    <row r="61" spans="1:15" ht="15.75" x14ac:dyDescent="0.25">
      <c r="A61" s="1"/>
      <c r="B61" s="52">
        <v>2</v>
      </c>
      <c r="C61" s="79" t="s">
        <v>36</v>
      </c>
      <c r="D61" s="70">
        <v>3000000</v>
      </c>
      <c r="E61" s="71">
        <v>500000</v>
      </c>
      <c r="F61" s="74">
        <v>5006548480</v>
      </c>
      <c r="G61" s="72">
        <v>46009.208518518521</v>
      </c>
      <c r="H61" s="80">
        <v>5000859007</v>
      </c>
      <c r="I61" s="80">
        <v>1197</v>
      </c>
      <c r="J61" s="80">
        <v>1238</v>
      </c>
      <c r="K61" s="2"/>
      <c r="L61" s="2"/>
      <c r="M61" s="2"/>
      <c r="N61" s="2"/>
      <c r="O61" s="3"/>
    </row>
    <row r="62" spans="1:15" ht="18.75" x14ac:dyDescent="0.3">
      <c r="A62" s="1"/>
      <c r="B62" s="69" t="s">
        <v>37</v>
      </c>
      <c r="C62" s="49"/>
      <c r="D62" s="60">
        <f>SUM(D60:D61)</f>
        <v>5000000</v>
      </c>
      <c r="E62" s="73">
        <f>+E61</f>
        <v>500000</v>
      </c>
      <c r="F62" s="61"/>
      <c r="G62" s="37"/>
      <c r="H62" s="37"/>
      <c r="I62" s="37"/>
      <c r="J62" s="37"/>
      <c r="K62" s="2"/>
      <c r="L62" s="2"/>
      <c r="M62" s="2"/>
      <c r="N62" s="2"/>
      <c r="O62" s="3"/>
    </row>
    <row r="63" spans="1:15" ht="15.75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</row>
    <row r="64" spans="1:15" ht="15.75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</row>
    <row r="65" spans="1:15" ht="15.75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</row>
    <row r="66" spans="1:15" ht="17.25" customHeight="1" x14ac:dyDescent="0.25">
      <c r="A66" s="1"/>
      <c r="B66" s="4" t="s">
        <v>51</v>
      </c>
      <c r="C66" s="18" t="s">
        <v>52</v>
      </c>
      <c r="D66" s="18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</row>
    <row r="67" spans="1:15" ht="15.75" x14ac:dyDescent="0.25">
      <c r="A67" s="1"/>
      <c r="B67" s="4" t="s">
        <v>53</v>
      </c>
      <c r="C67" s="29">
        <f ca="1">+TODAY()</f>
        <v>46230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</row>
    <row r="68" spans="1:15" ht="15.75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</row>
    <row r="69" spans="1:15" ht="15.75" x14ac:dyDescent="0.25">
      <c r="A69" s="1"/>
      <c r="B69" s="19" t="s">
        <v>5</v>
      </c>
      <c r="C69" s="19" t="s">
        <v>54</v>
      </c>
      <c r="D69" s="20"/>
      <c r="E69" s="20"/>
      <c r="F69" s="2"/>
      <c r="G69" s="2"/>
      <c r="H69" s="2"/>
      <c r="I69" s="2"/>
      <c r="J69" s="2"/>
      <c r="K69" s="2"/>
      <c r="L69" s="2"/>
      <c r="M69" s="2"/>
      <c r="N69" s="2"/>
      <c r="O69" s="3"/>
    </row>
    <row r="70" spans="1:15" ht="15.75" x14ac:dyDescent="0.25">
      <c r="A70" s="1"/>
      <c r="B70" s="19" t="s">
        <v>25</v>
      </c>
      <c r="C70" s="19" t="s">
        <v>55</v>
      </c>
      <c r="D70" s="20"/>
      <c r="E70" s="20"/>
      <c r="F70" s="2"/>
      <c r="G70" s="2"/>
      <c r="H70" s="2"/>
      <c r="I70" s="2"/>
      <c r="J70" s="2"/>
      <c r="K70" s="2"/>
      <c r="L70" s="2"/>
      <c r="M70" s="2"/>
      <c r="N70" s="2"/>
      <c r="O70" s="3"/>
    </row>
    <row r="71" spans="1:15" ht="15.75" customHeight="1" thickBot="1" x14ac:dyDescent="0.3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3"/>
    </row>
    <row r="72" spans="1:15" x14ac:dyDescent="0.2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6"/>
    </row>
    <row r="73" spans="1:15" ht="15.75" customHeight="1" x14ac:dyDescent="0.25">
      <c r="A73" s="27"/>
      <c r="B73" s="4" t="s">
        <v>56</v>
      </c>
      <c r="C73" s="2"/>
      <c r="D73" s="2"/>
      <c r="E73" s="2"/>
      <c r="F73" s="2"/>
      <c r="G73" s="2"/>
      <c r="H73" s="2"/>
      <c r="I73" s="2"/>
      <c r="J73" s="2"/>
      <c r="K73" s="2"/>
      <c r="O73" s="3"/>
    </row>
    <row r="74" spans="1:15" ht="15.75" customHeight="1" x14ac:dyDescent="0.25">
      <c r="A74" s="27"/>
      <c r="B74" s="2"/>
      <c r="C74" s="2"/>
      <c r="D74" s="2"/>
      <c r="E74" s="2"/>
      <c r="F74" s="2"/>
      <c r="G74" s="2"/>
      <c r="H74" s="2"/>
      <c r="I74" s="2"/>
      <c r="J74" s="2"/>
      <c r="K74" s="2"/>
      <c r="O74" s="3"/>
    </row>
    <row r="75" spans="1:15" ht="15.75" customHeight="1" x14ac:dyDescent="0.25">
      <c r="A75" s="27"/>
      <c r="B75" s="2" t="s">
        <v>57</v>
      </c>
      <c r="C75" s="2"/>
      <c r="D75" s="2"/>
      <c r="E75" s="2"/>
      <c r="F75" s="2"/>
      <c r="G75" s="2"/>
      <c r="H75" s="2"/>
      <c r="I75" s="2"/>
      <c r="J75" s="2"/>
      <c r="K75" s="2"/>
      <c r="O75" s="3"/>
    </row>
    <row r="76" spans="1:15" ht="15.75" customHeight="1" x14ac:dyDescent="0.25">
      <c r="A76" s="27"/>
      <c r="B76" s="2" t="s">
        <v>58</v>
      </c>
      <c r="C76" s="2"/>
      <c r="D76" s="2"/>
      <c r="E76" s="2"/>
      <c r="F76" s="2"/>
      <c r="G76" s="2"/>
      <c r="H76" s="2"/>
      <c r="I76" s="2"/>
      <c r="J76" s="2"/>
      <c r="K76" s="2"/>
      <c r="O76" s="3"/>
    </row>
    <row r="77" spans="1:15" ht="15.75" customHeight="1" x14ac:dyDescent="0.25">
      <c r="A77" s="27"/>
      <c r="B77" s="2" t="s">
        <v>59</v>
      </c>
      <c r="C77" s="2"/>
      <c r="D77" s="2"/>
      <c r="E77" s="2"/>
      <c r="F77" s="2"/>
      <c r="G77" s="2"/>
      <c r="H77" s="2"/>
      <c r="I77" s="2"/>
      <c r="J77" s="2"/>
      <c r="K77" s="2"/>
      <c r="O77" s="3"/>
    </row>
    <row r="78" spans="1:15" ht="15.75" customHeight="1" x14ac:dyDescent="0.25">
      <c r="A78" s="27"/>
      <c r="B78" s="2"/>
      <c r="C78" s="2"/>
      <c r="D78" s="2"/>
      <c r="E78" s="2"/>
      <c r="F78" s="2"/>
      <c r="G78" s="2"/>
      <c r="H78" s="2"/>
      <c r="I78" s="2"/>
      <c r="J78" s="2"/>
      <c r="K78" s="2"/>
      <c r="O78" s="3"/>
    </row>
    <row r="79" spans="1:15" ht="15.75" customHeight="1" x14ac:dyDescent="0.25">
      <c r="A79" s="27"/>
      <c r="B79" s="4" t="s">
        <v>3</v>
      </c>
      <c r="C79" s="28"/>
      <c r="D79" s="4"/>
      <c r="E79" s="4" t="s">
        <v>11</v>
      </c>
      <c r="F79" s="4"/>
      <c r="G79" s="2"/>
      <c r="H79" s="2"/>
      <c r="I79" s="2"/>
      <c r="J79" s="2"/>
      <c r="K79" s="2"/>
      <c r="O79" s="3"/>
    </row>
    <row r="80" spans="1:15" ht="15.75" customHeight="1" x14ac:dyDescent="0.25">
      <c r="A80" s="27"/>
      <c r="B80" s="4" t="s">
        <v>42</v>
      </c>
      <c r="C80" s="28"/>
      <c r="D80" s="4"/>
      <c r="E80" s="4" t="s">
        <v>46</v>
      </c>
      <c r="F80" s="4"/>
      <c r="G80" s="2"/>
      <c r="H80" s="2"/>
      <c r="I80" s="2"/>
      <c r="J80" s="2"/>
      <c r="K80" s="2"/>
      <c r="O80" s="3"/>
    </row>
    <row r="81" spans="1:15" ht="15.75" customHeight="1" x14ac:dyDescent="0.25">
      <c r="A81" s="27"/>
      <c r="B81" s="4" t="s">
        <v>7</v>
      </c>
      <c r="C81" s="28"/>
      <c r="D81" s="4"/>
      <c r="E81" s="4" t="s">
        <v>12</v>
      </c>
      <c r="F81" s="4"/>
      <c r="G81" s="2"/>
      <c r="H81" s="2"/>
      <c r="I81" s="2"/>
      <c r="J81" s="2"/>
      <c r="K81" s="2"/>
      <c r="O81" s="3"/>
    </row>
    <row r="82" spans="1:15" ht="15.75" customHeight="1" x14ac:dyDescent="0.25">
      <c r="A82" s="27"/>
      <c r="B82" s="4" t="s">
        <v>8</v>
      </c>
      <c r="C82" s="28"/>
      <c r="D82" s="4"/>
      <c r="E82" s="4" t="s">
        <v>14</v>
      </c>
      <c r="F82" s="4"/>
      <c r="G82" s="2"/>
      <c r="H82" s="2"/>
      <c r="I82" s="2"/>
      <c r="J82" s="2"/>
      <c r="K82" s="2"/>
      <c r="O82" s="3"/>
    </row>
    <row r="83" spans="1:15" ht="15.75" customHeight="1" x14ac:dyDescent="0.25">
      <c r="A83" s="27"/>
      <c r="B83" s="4" t="s">
        <v>10</v>
      </c>
      <c r="C83" s="28"/>
      <c r="D83" s="4"/>
      <c r="E83" s="4" t="s">
        <v>60</v>
      </c>
      <c r="F83" s="4"/>
      <c r="G83" s="2"/>
      <c r="H83" s="2"/>
      <c r="I83" s="2"/>
      <c r="J83" s="2"/>
      <c r="K83" s="2"/>
      <c r="O83" s="3"/>
    </row>
    <row r="84" spans="1:15" ht="15.75" customHeight="1" x14ac:dyDescent="0.25">
      <c r="A84" s="27"/>
      <c r="B84" s="2"/>
      <c r="C84" s="2"/>
      <c r="D84" s="2"/>
      <c r="E84" s="2"/>
      <c r="F84" s="2"/>
      <c r="G84" s="2"/>
      <c r="H84" s="2"/>
      <c r="I84" s="2"/>
      <c r="J84" s="2"/>
      <c r="K84" s="2"/>
      <c r="O84" s="3"/>
    </row>
    <row r="85" spans="1:15" ht="15.75" customHeight="1" x14ac:dyDescent="0.25">
      <c r="A85" s="27"/>
      <c r="B85" s="2" t="s">
        <v>61</v>
      </c>
      <c r="C85" s="2"/>
      <c r="D85" s="2"/>
      <c r="E85" s="2"/>
      <c r="F85" s="2"/>
      <c r="G85" s="2"/>
      <c r="H85" s="2"/>
      <c r="I85" s="2"/>
      <c r="J85" s="2"/>
      <c r="K85" s="2"/>
      <c r="O85" s="3"/>
    </row>
    <row r="86" spans="1:15" ht="15.75" customHeight="1" x14ac:dyDescent="0.25">
      <c r="A86" s="27"/>
      <c r="B86" s="2" t="s">
        <v>62</v>
      </c>
      <c r="C86" s="2"/>
      <c r="D86" s="2"/>
      <c r="E86" s="2"/>
      <c r="F86" s="2"/>
      <c r="G86" s="2"/>
      <c r="H86" s="2"/>
      <c r="I86" s="2"/>
      <c r="J86" s="2"/>
      <c r="K86" s="2"/>
      <c r="O86" s="3"/>
    </row>
    <row r="87" spans="1:15" x14ac:dyDescent="0.25">
      <c r="A87" s="27"/>
      <c r="O87" s="3"/>
    </row>
    <row r="88" spans="1:15" ht="15.75" customHeight="1" thickBot="1" x14ac:dyDescent="0.3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/>
    </row>
  </sheetData>
  <mergeCells count="15">
    <mergeCell ref="C48:I48"/>
    <mergeCell ref="B57:J57"/>
    <mergeCell ref="B62:C62"/>
    <mergeCell ref="A46:J46"/>
    <mergeCell ref="C3:I3"/>
    <mergeCell ref="B42:C42"/>
    <mergeCell ref="A1:D1"/>
    <mergeCell ref="C26:I26"/>
    <mergeCell ref="L24:M24"/>
    <mergeCell ref="B22:C22"/>
    <mergeCell ref="E1:L1"/>
    <mergeCell ref="B35:J35"/>
    <mergeCell ref="M1:O1"/>
    <mergeCell ref="B24:J24"/>
    <mergeCell ref="B14:J14"/>
  </mergeCells>
  <printOptions horizontalCentered="1"/>
  <pageMargins left="0.70866141732283472" right="0.70866141732283472" top="0.74803149606299213" bottom="0.74803149606299213" header="0.31496062992125978" footer="0.31496062992125978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ESTADO DE CUENTA</vt:lpstr>
      <vt:lpstr>'FORMATO ESTADO DE CUENTA'!Área_de_impresión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Gonzalez Diaz</dc:creator>
  <cp:lastModifiedBy>presupuesto.usme</cp:lastModifiedBy>
  <cp:lastPrinted>2025-03-06T22:12:54Z</cp:lastPrinted>
  <dcterms:created xsi:type="dcterms:W3CDTF">2025-02-27T16:25:42Z</dcterms:created>
  <dcterms:modified xsi:type="dcterms:W3CDTF">2026-07-27T20:09:32Z</dcterms:modified>
</cp:coreProperties>
</file>